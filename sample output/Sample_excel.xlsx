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240" windowWidth="8595" windowHeight="7050" tabRatio="805" firstSheet="18" activeTab="18"/>
  </bookViews>
  <sheets>
    <sheet name="Master" sheetId="19" state="veryHidden" r:id="rId1"/>
    <sheet name="ValidationList" sheetId="20" state="veryHidden" r:id="rId2"/>
    <sheet name="Data" sheetId="9" state="veryHidden" r:id="rId3"/>
    <sheet name="Validations" sheetId="25" state="veryHidden" r:id="rId4"/>
    <sheet name="Error" sheetId="22" state="hidden" r:id="rId5"/>
    <sheet name="Addrow_Column_Bean_Mapping" sheetId="27" state="hidden" r:id="rId6"/>
    <sheet name="GENERATED_XML_STRING" sheetId="28" state="hidden" r:id="rId7"/>
    <sheet name="SEPTEMBER" sheetId="33" state="hidden" r:id="rId8"/>
    <sheet name="OCTOBER" sheetId="34" state="hidden" r:id="rId9"/>
    <sheet name="NOVEMBER" sheetId="35" state="hidden" r:id="rId10"/>
    <sheet name="JANUARY" sheetId="36" state="hidden" r:id="rId11"/>
    <sheet name="FEBRUARY" sheetId="37" state="hidden" r:id="rId12"/>
    <sheet name="MARCH" sheetId="38" state="hidden" r:id="rId13"/>
    <sheet name="APRIL" sheetId="39" state="hidden" r:id="rId14"/>
    <sheet name="JULY" sheetId="42" state="hidden" r:id="rId15"/>
    <sheet name="SEP" sheetId="43" state="hidden" r:id="rId16"/>
    <sheet name="OCT" sheetId="44" state="hidden" r:id="rId17"/>
    <sheet name="DEC" sheetId="45" state="hidden" r:id="rId18"/>
    <sheet name="MAR-26" sheetId="111" r:id="rId19"/>
  </sheets>
  <externalReferences>
    <externalReference r:id="rId20"/>
  </externalReferences>
  <definedNames>
    <definedName name="_xlnm._FilterDatabase" localSheetId="2" hidden="1">Data!$D$4:$D$1474</definedName>
    <definedName name="_xlnm._FilterDatabase" localSheetId="18" hidden="1">'MAR-26'!#REF!</definedName>
    <definedName name="Annexure1">#REF!</definedName>
    <definedName name="Annexure1_Validation">ValidationList!$B$2:$H$9</definedName>
    <definedName name="Annexure1Col">Master!$K$1:$K$11</definedName>
    <definedName name="beanMapping">Master!$E$2:$E$18</definedName>
    <definedName name="chkBlnkAnnx">#REF!</definedName>
    <definedName name="dealerType">#REF!</definedName>
    <definedName name="FINYEARSTARTDATE">#REF!</definedName>
    <definedName name="firstRow">#REF!</definedName>
    <definedName name="formType">[1]Data!$A$1:$A$5</definedName>
    <definedName name="formTypeCode">[1]Data!$B$1:$B$5</definedName>
    <definedName name="hashXmlName">Master!$I$27</definedName>
    <definedName name="invoiceValue">#REF!</definedName>
    <definedName name="lstRtnVATAnx1Dtls">Addrow_Column_Bean_Mapping!$A$1:$A$11</definedName>
    <definedName name="p145ItcLocPurRegDlr">#REF!</definedName>
    <definedName name="p145PvLocPurRegDlr">#REF!</definedName>
    <definedName name="p1ItcLocPurRegDlr">#REF!</definedName>
    <definedName name="p1PvLocPurRegDlr">#REF!</definedName>
    <definedName name="p2ItcLocPurRegDlr">#REF!</definedName>
    <definedName name="p2PvLocPurRegDlr">#REF!</definedName>
    <definedName name="p5ItcLocPurRegDlr">#REF!</definedName>
    <definedName name="p5PvLocPurRegDlr">#REF!</definedName>
    <definedName name="periodFrom">#REF!</definedName>
    <definedName name="periodTo">#REF!</definedName>
    <definedName name="PurchaseValue">#REF!</definedName>
    <definedName name="rateofTax">Data!$A$1:$A$8</definedName>
    <definedName name="states">[1]Data!$C$1:$C$36</definedName>
    <definedName name="TaxPaid">#REF!</definedName>
    <definedName name="taxRateCalc">#REF!</definedName>
    <definedName name="taxRateCode">Data!$B$1:$B$8</definedName>
    <definedName name="taxRateXmlCode">Data!$C$1:$C$8</definedName>
    <definedName name="tin">#REF!</definedName>
    <definedName name="totItcLocPurRegDlr">#REF!</definedName>
    <definedName name="totPvLocPurRegDlrAn1">#REF!</definedName>
    <definedName name="version">#REF!</definedName>
  </definedNames>
  <calcPr calcId="144525"/>
</workbook>
</file>

<file path=xl/calcChain.xml><?xml version="1.0" encoding="utf-8"?>
<calcChain xmlns="http://schemas.openxmlformats.org/spreadsheetml/2006/main">
  <c r="G22" i="111" l="1"/>
  <c r="E22" i="111"/>
  <c r="H22" i="111" l="1"/>
  <c r="J22" i="111" l="1"/>
  <c r="I22" i="111"/>
  <c r="G250" i="45" l="1"/>
  <c r="G249" i="45"/>
  <c r="G248" i="45"/>
  <c r="G247" i="45"/>
  <c r="G246" i="45"/>
  <c r="G245" i="45"/>
  <c r="G244" i="45"/>
  <c r="G243" i="45"/>
  <c r="G242" i="45"/>
  <c r="G241" i="45"/>
  <c r="G240" i="45"/>
  <c r="G239" i="45"/>
  <c r="G238" i="45"/>
  <c r="G237" i="45"/>
  <c r="G236" i="45"/>
  <c r="G235" i="45"/>
  <c r="G234" i="45"/>
  <c r="G233" i="45"/>
  <c r="G232" i="45"/>
  <c r="G231" i="45"/>
  <c r="G230" i="45"/>
  <c r="G229" i="45"/>
  <c r="G228" i="45"/>
  <c r="G227" i="45"/>
  <c r="G226" i="45"/>
  <c r="G225" i="45"/>
  <c r="G224" i="45"/>
  <c r="G223" i="45"/>
  <c r="G222" i="45"/>
  <c r="G221" i="45"/>
  <c r="G220" i="45"/>
  <c r="G219" i="45"/>
  <c r="G218" i="45"/>
  <c r="G217" i="45"/>
  <c r="G216" i="45"/>
  <c r="G215" i="45"/>
  <c r="G214" i="45"/>
  <c r="G213" i="45"/>
  <c r="G212" i="45"/>
  <c r="G211" i="45"/>
  <c r="G210" i="45"/>
  <c r="G209" i="45"/>
  <c r="G208" i="45"/>
  <c r="G207" i="45"/>
  <c r="I206" i="45"/>
  <c r="J206" i="45" s="1"/>
  <c r="G206" i="45"/>
  <c r="H206" i="45" s="1"/>
  <c r="I205" i="45"/>
  <c r="J205" i="45" s="1"/>
  <c r="G205" i="45"/>
  <c r="H205" i="45" s="1"/>
  <c r="I204" i="45"/>
  <c r="J204" i="45" s="1"/>
  <c r="G204" i="45"/>
  <c r="H204" i="45" s="1"/>
  <c r="I203" i="45"/>
  <c r="J203" i="45" s="1"/>
  <c r="G203" i="45"/>
  <c r="H203" i="45" s="1"/>
  <c r="I202" i="45"/>
  <c r="J202" i="45" s="1"/>
  <c r="G202" i="45"/>
  <c r="H202" i="45" s="1"/>
  <c r="G201" i="45"/>
  <c r="H201" i="45" s="1"/>
  <c r="G200" i="45"/>
  <c r="H200" i="45" s="1"/>
  <c r="G199" i="45"/>
  <c r="H199" i="45" s="1"/>
  <c r="G198" i="45"/>
  <c r="H198" i="45" s="1"/>
  <c r="G197" i="45"/>
  <c r="H197" i="45" s="1"/>
  <c r="G196" i="45"/>
  <c r="H196" i="45" s="1"/>
  <c r="G195" i="45"/>
  <c r="H195" i="45" s="1"/>
  <c r="G194" i="45"/>
  <c r="H194" i="45" s="1"/>
  <c r="G193" i="45"/>
  <c r="H193" i="45" s="1"/>
  <c r="G192" i="45"/>
  <c r="H192" i="45" s="1"/>
  <c r="G191" i="45"/>
  <c r="H191" i="45" s="1"/>
  <c r="G190" i="45"/>
  <c r="H190" i="45" s="1"/>
  <c r="G189" i="45"/>
  <c r="H189" i="45" s="1"/>
  <c r="G188" i="45"/>
  <c r="H188" i="45" s="1"/>
  <c r="G187" i="45"/>
  <c r="H187" i="45" s="1"/>
  <c r="G186" i="45"/>
  <c r="H186" i="45" s="1"/>
  <c r="G185" i="45"/>
  <c r="H185" i="45" s="1"/>
  <c r="G184" i="45"/>
  <c r="H184" i="45" s="1"/>
  <c r="G183" i="45"/>
  <c r="H183" i="45" s="1"/>
  <c r="G182" i="45"/>
  <c r="H182" i="45" s="1"/>
  <c r="G181" i="45"/>
  <c r="H181" i="45" s="1"/>
  <c r="G180" i="45"/>
  <c r="H180" i="45" s="1"/>
  <c r="G179" i="45"/>
  <c r="H179" i="45" s="1"/>
  <c r="G178" i="45"/>
  <c r="H178" i="45" s="1"/>
  <c r="G177" i="45"/>
  <c r="H177" i="45" s="1"/>
  <c r="G176" i="45"/>
  <c r="H176" i="45" s="1"/>
  <c r="G175" i="45"/>
  <c r="H175" i="45" s="1"/>
  <c r="G174" i="45"/>
  <c r="H174" i="45" s="1"/>
  <c r="G173" i="45"/>
  <c r="H173" i="45" s="1"/>
  <c r="G172" i="45"/>
  <c r="H172" i="45" s="1"/>
  <c r="G171" i="45"/>
  <c r="H171" i="45" s="1"/>
  <c r="G170" i="45"/>
  <c r="H170" i="45" s="1"/>
  <c r="G169" i="45"/>
  <c r="H169" i="45" s="1"/>
  <c r="G168" i="45"/>
  <c r="H168" i="45" s="1"/>
  <c r="G167" i="45"/>
  <c r="H167" i="45" s="1"/>
  <c r="G166" i="45"/>
  <c r="H166" i="45" s="1"/>
  <c r="G165" i="45"/>
  <c r="H165" i="45" s="1"/>
  <c r="G164" i="45"/>
  <c r="H164" i="45" s="1"/>
  <c r="G163" i="45"/>
  <c r="H163" i="45" s="1"/>
  <c r="G162" i="45"/>
  <c r="H162" i="45" s="1"/>
  <c r="G161" i="45"/>
  <c r="H161" i="45" s="1"/>
  <c r="G160" i="45"/>
  <c r="H160" i="45" s="1"/>
  <c r="G159" i="45"/>
  <c r="H159" i="45" s="1"/>
  <c r="G158" i="45"/>
  <c r="H158" i="45" s="1"/>
  <c r="G157" i="45"/>
  <c r="H157" i="45" s="1"/>
  <c r="G156" i="45"/>
  <c r="H156" i="45" s="1"/>
  <c r="G155" i="45"/>
  <c r="H155" i="45" s="1"/>
  <c r="G154" i="45"/>
  <c r="H154" i="45" s="1"/>
  <c r="G153" i="45"/>
  <c r="H153" i="45" s="1"/>
  <c r="G152" i="45"/>
  <c r="H152" i="45" s="1"/>
  <c r="G151" i="45"/>
  <c r="H151" i="45" s="1"/>
  <c r="G150" i="45"/>
  <c r="H150" i="45" s="1"/>
  <c r="G149" i="45"/>
  <c r="H149" i="45" s="1"/>
  <c r="G148" i="45"/>
  <c r="H148" i="45" s="1"/>
  <c r="G147" i="45"/>
  <c r="H147" i="45" s="1"/>
  <c r="G146" i="45"/>
  <c r="H146" i="45" s="1"/>
  <c r="G145" i="45"/>
  <c r="H145" i="45" s="1"/>
  <c r="G144" i="45"/>
  <c r="H144" i="45" s="1"/>
  <c r="G143" i="45"/>
  <c r="H143" i="45" s="1"/>
  <c r="G142" i="45"/>
  <c r="H142" i="45" s="1"/>
  <c r="G141" i="45"/>
  <c r="H141" i="45" s="1"/>
  <c r="G140" i="45"/>
  <c r="H140" i="45" s="1"/>
  <c r="G139" i="45"/>
  <c r="H139" i="45" s="1"/>
  <c r="G138" i="45"/>
  <c r="H138" i="45" s="1"/>
  <c r="G137" i="45"/>
  <c r="H137" i="45" s="1"/>
  <c r="G136" i="45"/>
  <c r="H136" i="45" s="1"/>
  <c r="G135" i="45"/>
  <c r="H135" i="45" s="1"/>
  <c r="G134" i="45"/>
  <c r="H134" i="45" s="1"/>
  <c r="G133" i="45"/>
  <c r="H133" i="45" s="1"/>
  <c r="G132" i="45"/>
  <c r="H132" i="45" s="1"/>
  <c r="G131" i="45"/>
  <c r="H131" i="45" s="1"/>
  <c r="G130" i="45"/>
  <c r="H130" i="45" s="1"/>
  <c r="G129" i="45"/>
  <c r="H129" i="45" s="1"/>
  <c r="G128" i="45"/>
  <c r="H128" i="45" s="1"/>
  <c r="G127" i="45"/>
  <c r="H127" i="45" s="1"/>
  <c r="G126" i="45"/>
  <c r="H126" i="45" s="1"/>
  <c r="G125" i="45"/>
  <c r="H125" i="45" s="1"/>
  <c r="G124" i="45"/>
  <c r="H124" i="45" s="1"/>
  <c r="G123" i="45"/>
  <c r="H123" i="45" s="1"/>
  <c r="G122" i="45"/>
  <c r="G121" i="45"/>
  <c r="G120" i="45"/>
  <c r="G119" i="45"/>
  <c r="G118" i="45"/>
  <c r="G117" i="45"/>
  <c r="G116" i="45"/>
  <c r="G115" i="45"/>
  <c r="G114" i="45"/>
  <c r="G113" i="45"/>
  <c r="G112" i="45"/>
  <c r="G111" i="45"/>
  <c r="G110" i="45"/>
  <c r="G109" i="45"/>
  <c r="G108" i="45"/>
  <c r="G107" i="45"/>
  <c r="G106" i="45"/>
  <c r="G105" i="45"/>
  <c r="G104" i="45"/>
  <c r="G103" i="45"/>
  <c r="G102" i="45"/>
  <c r="G101" i="45"/>
  <c r="G100" i="45"/>
  <c r="G99" i="45"/>
  <c r="G98" i="45"/>
  <c r="G97" i="45"/>
  <c r="G96" i="45"/>
  <c r="G95" i="45"/>
  <c r="G94" i="45"/>
  <c r="G93" i="45"/>
  <c r="G92" i="45"/>
  <c r="G91" i="45"/>
  <c r="G90" i="45"/>
  <c r="G89" i="45"/>
  <c r="G88" i="45"/>
  <c r="G87" i="45"/>
  <c r="G86" i="45"/>
  <c r="G85" i="45"/>
  <c r="G84" i="45"/>
  <c r="G83" i="45"/>
  <c r="G82" i="45"/>
  <c r="G81" i="45"/>
  <c r="G80" i="45"/>
  <c r="G79" i="45"/>
  <c r="G78" i="45"/>
  <c r="G77" i="45"/>
  <c r="G76" i="45"/>
  <c r="G75" i="45"/>
  <c r="G74" i="45"/>
  <c r="G73" i="45"/>
  <c r="G72" i="45"/>
  <c r="G71" i="45"/>
  <c r="G70" i="45"/>
  <c r="G69" i="45"/>
  <c r="G68" i="45"/>
  <c r="G67" i="45"/>
  <c r="G66" i="45"/>
  <c r="G65" i="45"/>
  <c r="G64" i="45"/>
  <c r="G63" i="45"/>
  <c r="G62" i="45"/>
  <c r="G61" i="45"/>
  <c r="G60" i="45"/>
  <c r="G59" i="45"/>
  <c r="G58" i="45"/>
  <c r="G57" i="45"/>
  <c r="G56" i="45"/>
  <c r="G55" i="45"/>
  <c r="G54" i="45"/>
  <c r="G53" i="45"/>
  <c r="G52" i="45"/>
  <c r="G51" i="45"/>
  <c r="G50" i="45"/>
  <c r="G49" i="45"/>
  <c r="G48" i="45"/>
  <c r="H48" i="45" s="1"/>
  <c r="I48" i="45" s="1"/>
  <c r="J48" i="45" s="1"/>
  <c r="G47" i="45"/>
  <c r="G46" i="45"/>
  <c r="H46" i="45" s="1"/>
  <c r="G45" i="45"/>
  <c r="H45" i="45" s="1"/>
  <c r="G44" i="45"/>
  <c r="G43" i="45"/>
  <c r="H43" i="45" s="1"/>
  <c r="G42" i="45"/>
  <c r="G41" i="45"/>
  <c r="H41" i="45" s="1"/>
  <c r="G40" i="45"/>
  <c r="G39" i="45"/>
  <c r="H39" i="45" s="1"/>
  <c r="G38" i="45"/>
  <c r="G37" i="45"/>
  <c r="H37" i="45" s="1"/>
  <c r="G36" i="45"/>
  <c r="G35" i="45"/>
  <c r="H35" i="45" s="1"/>
  <c r="G34" i="45"/>
  <c r="G33" i="45"/>
  <c r="H33" i="45" s="1"/>
  <c r="G32" i="45"/>
  <c r="G31" i="45"/>
  <c r="G30" i="45"/>
  <c r="H30" i="45" s="1"/>
  <c r="G29" i="45"/>
  <c r="G28" i="45"/>
  <c r="H28" i="45" s="1"/>
  <c r="G27" i="45"/>
  <c r="G26" i="45"/>
  <c r="H26" i="45" s="1"/>
  <c r="G25" i="45"/>
  <c r="G24" i="45"/>
  <c r="H24" i="45" s="1"/>
  <c r="G23" i="45"/>
  <c r="G22" i="45"/>
  <c r="H22" i="45" s="1"/>
  <c r="G21" i="45"/>
  <c r="H21" i="45" s="1"/>
  <c r="G20" i="45"/>
  <c r="G19" i="45"/>
  <c r="H19" i="45" s="1"/>
  <c r="G18" i="45"/>
  <c r="G17" i="45"/>
  <c r="G16" i="45"/>
  <c r="H16" i="45" s="1"/>
  <c r="G15" i="45"/>
  <c r="G14" i="45"/>
  <c r="G13" i="45"/>
  <c r="H13" i="45" s="1"/>
  <c r="G12" i="45"/>
  <c r="G11" i="45"/>
  <c r="H11" i="45" s="1"/>
  <c r="G10" i="45"/>
  <c r="H10" i="45" s="1"/>
  <c r="G9" i="45"/>
  <c r="H9" i="45" s="1"/>
  <c r="G8" i="45"/>
  <c r="H8" i="45" s="1"/>
  <c r="G7" i="45"/>
  <c r="G6" i="45"/>
  <c r="H6" i="45" s="1"/>
  <c r="G5" i="45"/>
  <c r="G4" i="45"/>
  <c r="H4" i="45" s="1"/>
  <c r="G3" i="45"/>
  <c r="G236" i="44"/>
  <c r="G235" i="44"/>
  <c r="G234" i="44"/>
  <c r="G233" i="44"/>
  <c r="G232" i="44"/>
  <c r="G231" i="44"/>
  <c r="G230" i="44"/>
  <c r="G229" i="44"/>
  <c r="G228" i="44"/>
  <c r="G227" i="44"/>
  <c r="G226" i="44"/>
  <c r="G225" i="44"/>
  <c r="G224" i="44"/>
  <c r="G223" i="44"/>
  <c r="G222" i="44"/>
  <c r="G221" i="44"/>
  <c r="G220" i="44"/>
  <c r="G219" i="44"/>
  <c r="G218" i="44"/>
  <c r="G217" i="44"/>
  <c r="G216" i="44"/>
  <c r="G215" i="44"/>
  <c r="G214" i="44"/>
  <c r="G213" i="44"/>
  <c r="G212" i="44"/>
  <c r="G211" i="44"/>
  <c r="G210" i="44"/>
  <c r="G209" i="44"/>
  <c r="G208" i="44"/>
  <c r="G207" i="44"/>
  <c r="G206" i="44"/>
  <c r="G205" i="44"/>
  <c r="G204" i="44"/>
  <c r="G203" i="44"/>
  <c r="G202" i="44"/>
  <c r="G201" i="44"/>
  <c r="G200" i="44"/>
  <c r="G199" i="44"/>
  <c r="G198" i="44"/>
  <c r="G197" i="44"/>
  <c r="G196" i="44"/>
  <c r="G195" i="44"/>
  <c r="G194" i="44"/>
  <c r="G193" i="44"/>
  <c r="G192" i="44"/>
  <c r="G191" i="44"/>
  <c r="G190" i="44"/>
  <c r="G189" i="44"/>
  <c r="G188" i="44"/>
  <c r="G187" i="44"/>
  <c r="G186" i="44"/>
  <c r="G185" i="44"/>
  <c r="G184" i="44"/>
  <c r="G183" i="44"/>
  <c r="G182" i="44"/>
  <c r="G181" i="44"/>
  <c r="G180" i="44"/>
  <c r="H180" i="44" s="1"/>
  <c r="G179" i="44"/>
  <c r="H179" i="44" s="1"/>
  <c r="G178" i="44"/>
  <c r="H178" i="44" s="1"/>
  <c r="G177" i="44"/>
  <c r="H177" i="44" s="1"/>
  <c r="G176" i="44"/>
  <c r="H176" i="44" s="1"/>
  <c r="G175" i="44"/>
  <c r="H175" i="44" s="1"/>
  <c r="G174" i="44"/>
  <c r="H174" i="44" s="1"/>
  <c r="G173" i="44"/>
  <c r="H173" i="44" s="1"/>
  <c r="G172" i="44"/>
  <c r="H172" i="44" s="1"/>
  <c r="G171" i="44"/>
  <c r="H171" i="44" s="1"/>
  <c r="G170" i="44"/>
  <c r="H170" i="44" s="1"/>
  <c r="G169" i="44"/>
  <c r="H169" i="44" s="1"/>
  <c r="G168" i="44"/>
  <c r="H168" i="44" s="1"/>
  <c r="G167" i="44"/>
  <c r="H167" i="44" s="1"/>
  <c r="G166" i="44"/>
  <c r="H166" i="44" s="1"/>
  <c r="G165" i="44"/>
  <c r="H165" i="44" s="1"/>
  <c r="G164" i="44"/>
  <c r="H164" i="44" s="1"/>
  <c r="G163" i="44"/>
  <c r="H163" i="44" s="1"/>
  <c r="G162" i="44"/>
  <c r="H162" i="44" s="1"/>
  <c r="G161" i="44"/>
  <c r="H161" i="44" s="1"/>
  <c r="G160" i="44"/>
  <c r="H160" i="44" s="1"/>
  <c r="G159" i="44"/>
  <c r="H159" i="44" s="1"/>
  <c r="G158" i="44"/>
  <c r="H158" i="44" s="1"/>
  <c r="G157" i="44"/>
  <c r="H157" i="44" s="1"/>
  <c r="G156" i="44"/>
  <c r="H156" i="44" s="1"/>
  <c r="G155" i="44"/>
  <c r="H155" i="44" s="1"/>
  <c r="G154" i="44"/>
  <c r="H154" i="44" s="1"/>
  <c r="G153" i="44"/>
  <c r="H153" i="44" s="1"/>
  <c r="G152" i="44"/>
  <c r="H152" i="44" s="1"/>
  <c r="G151" i="44"/>
  <c r="H151" i="44" s="1"/>
  <c r="G150" i="44"/>
  <c r="H150" i="44" s="1"/>
  <c r="G149" i="44"/>
  <c r="H149" i="44" s="1"/>
  <c r="G148" i="44"/>
  <c r="H148" i="44" s="1"/>
  <c r="G147" i="44"/>
  <c r="H147" i="44" s="1"/>
  <c r="G146" i="44"/>
  <c r="H146" i="44" s="1"/>
  <c r="G145" i="44"/>
  <c r="H145" i="44" s="1"/>
  <c r="G144" i="44"/>
  <c r="H144" i="44" s="1"/>
  <c r="G143" i="44"/>
  <c r="H143" i="44" s="1"/>
  <c r="G142" i="44"/>
  <c r="H142" i="44" s="1"/>
  <c r="G141" i="44"/>
  <c r="H141" i="44" s="1"/>
  <c r="G140" i="44"/>
  <c r="H140" i="44" s="1"/>
  <c r="G139" i="44"/>
  <c r="H139" i="44" s="1"/>
  <c r="G138" i="44"/>
  <c r="H138" i="44" s="1"/>
  <c r="G137" i="44"/>
  <c r="H137" i="44" s="1"/>
  <c r="G136" i="44"/>
  <c r="H136" i="44" s="1"/>
  <c r="G135" i="44"/>
  <c r="H135" i="44" s="1"/>
  <c r="G134" i="44"/>
  <c r="H134" i="44" s="1"/>
  <c r="G133" i="44"/>
  <c r="H133" i="44" s="1"/>
  <c r="G132" i="44"/>
  <c r="H132" i="44" s="1"/>
  <c r="G131" i="44"/>
  <c r="H131" i="44" s="1"/>
  <c r="G130" i="44"/>
  <c r="H130" i="44" s="1"/>
  <c r="G129" i="44"/>
  <c r="H129" i="44" s="1"/>
  <c r="G128" i="44"/>
  <c r="H128" i="44" s="1"/>
  <c r="G127" i="44"/>
  <c r="H127" i="44" s="1"/>
  <c r="G126" i="44"/>
  <c r="H126" i="44" s="1"/>
  <c r="G125" i="44"/>
  <c r="H125" i="44" s="1"/>
  <c r="G124" i="44"/>
  <c r="H124" i="44" s="1"/>
  <c r="G123" i="44"/>
  <c r="H123" i="44" s="1"/>
  <c r="G122" i="44"/>
  <c r="H122" i="44" s="1"/>
  <c r="G121" i="44"/>
  <c r="H121" i="44" s="1"/>
  <c r="G120" i="44"/>
  <c r="H120" i="44" s="1"/>
  <c r="G119" i="44"/>
  <c r="H119" i="44" s="1"/>
  <c r="G118" i="44"/>
  <c r="H118" i="44" s="1"/>
  <c r="G117" i="44"/>
  <c r="H117" i="44" s="1"/>
  <c r="G116" i="44"/>
  <c r="H116" i="44" s="1"/>
  <c r="G115" i="44"/>
  <c r="H115" i="44" s="1"/>
  <c r="G114" i="44"/>
  <c r="H114" i="44" s="1"/>
  <c r="G113" i="44"/>
  <c r="H113" i="44" s="1"/>
  <c r="G112" i="44"/>
  <c r="H112" i="44" s="1"/>
  <c r="G111" i="44"/>
  <c r="H111" i="44" s="1"/>
  <c r="G110" i="44"/>
  <c r="H110" i="44" s="1"/>
  <c r="G109" i="44"/>
  <c r="H109" i="44" s="1"/>
  <c r="G108" i="44"/>
  <c r="H108" i="44" s="1"/>
  <c r="G107" i="44"/>
  <c r="H107" i="44" s="1"/>
  <c r="G106" i="44"/>
  <c r="G105" i="44"/>
  <c r="G104" i="44"/>
  <c r="G103" i="44"/>
  <c r="G102" i="44"/>
  <c r="G101" i="44"/>
  <c r="G100" i="44"/>
  <c r="G99" i="44"/>
  <c r="G98" i="44"/>
  <c r="G97" i="44"/>
  <c r="G96" i="44"/>
  <c r="G95" i="44"/>
  <c r="G94" i="44"/>
  <c r="G93" i="44"/>
  <c r="G92" i="44"/>
  <c r="G91" i="44"/>
  <c r="G90" i="44"/>
  <c r="G89" i="44"/>
  <c r="G88" i="44"/>
  <c r="G87" i="44"/>
  <c r="G86" i="44"/>
  <c r="G85" i="44"/>
  <c r="G84" i="44"/>
  <c r="G83" i="44"/>
  <c r="G82" i="44"/>
  <c r="G81" i="44"/>
  <c r="G80" i="44"/>
  <c r="G79" i="44"/>
  <c r="G78" i="44"/>
  <c r="G77" i="44"/>
  <c r="G76" i="44"/>
  <c r="G75" i="44"/>
  <c r="G74" i="44"/>
  <c r="G73" i="44"/>
  <c r="G72" i="44"/>
  <c r="G71" i="44"/>
  <c r="G70" i="44"/>
  <c r="G69" i="44"/>
  <c r="G68" i="44"/>
  <c r="G67" i="44"/>
  <c r="G66" i="44"/>
  <c r="G65" i="44"/>
  <c r="G64" i="44"/>
  <c r="G63" i="44"/>
  <c r="G62" i="44"/>
  <c r="G61" i="44"/>
  <c r="G60" i="44"/>
  <c r="G59" i="44"/>
  <c r="G58" i="44"/>
  <c r="G57" i="44"/>
  <c r="G56" i="44"/>
  <c r="G55" i="44"/>
  <c r="G54" i="44"/>
  <c r="G53" i="44"/>
  <c r="G52" i="44"/>
  <c r="G51" i="44"/>
  <c r="G50" i="44"/>
  <c r="G49" i="44"/>
  <c r="G48" i="44"/>
  <c r="G47" i="44"/>
  <c r="G46" i="44"/>
  <c r="G45" i="44"/>
  <c r="G44" i="44"/>
  <c r="G43" i="44"/>
  <c r="G42" i="44"/>
  <c r="G41" i="44"/>
  <c r="G40" i="44"/>
  <c r="G39" i="44"/>
  <c r="G38" i="44"/>
  <c r="G37" i="44"/>
  <c r="G36" i="44"/>
  <c r="G35" i="44"/>
  <c r="G34" i="44"/>
  <c r="G33" i="44"/>
  <c r="G32" i="44"/>
  <c r="G31" i="44"/>
  <c r="G30" i="44"/>
  <c r="H30" i="44" s="1"/>
  <c r="G29" i="44"/>
  <c r="G28" i="44"/>
  <c r="G27" i="44"/>
  <c r="G26" i="44"/>
  <c r="H26" i="44" s="1"/>
  <c r="G25" i="44"/>
  <c r="H25" i="44" s="1"/>
  <c r="G24" i="44"/>
  <c r="G23" i="44"/>
  <c r="H23" i="44" s="1"/>
  <c r="G22" i="44"/>
  <c r="H22" i="44" s="1"/>
  <c r="G21" i="44"/>
  <c r="H21" i="44" s="1"/>
  <c r="G20" i="44"/>
  <c r="G19" i="44"/>
  <c r="G18" i="44"/>
  <c r="G17" i="44"/>
  <c r="G16" i="44"/>
  <c r="G15" i="44"/>
  <c r="G14" i="44"/>
  <c r="H14" i="44" s="1"/>
  <c r="G13" i="44"/>
  <c r="H13" i="44" s="1"/>
  <c r="G12" i="44"/>
  <c r="G11" i="44"/>
  <c r="G10" i="44"/>
  <c r="H10" i="44" s="1"/>
  <c r="G9" i="44"/>
  <c r="G8" i="44"/>
  <c r="G7" i="44"/>
  <c r="G6" i="44"/>
  <c r="G5" i="44"/>
  <c r="G4" i="44"/>
  <c r="G3" i="44"/>
  <c r="H3" i="44" s="1"/>
  <c r="I110" i="44" l="1"/>
  <c r="J110" i="44" s="1"/>
  <c r="I112" i="44"/>
  <c r="J112" i="44" s="1"/>
  <c r="I114" i="44"/>
  <c r="J114" i="44" s="1"/>
  <c r="I116" i="44"/>
  <c r="J116" i="44" s="1"/>
  <c r="I118" i="44"/>
  <c r="J118" i="44" s="1"/>
  <c r="I120" i="44"/>
  <c r="J120" i="44" s="1"/>
  <c r="I122" i="44"/>
  <c r="J122" i="44" s="1"/>
  <c r="I124" i="44"/>
  <c r="J124" i="44" s="1"/>
  <c r="I126" i="44"/>
  <c r="J126" i="44" s="1"/>
  <c r="I128" i="44"/>
  <c r="J128" i="44" s="1"/>
  <c r="I130" i="44"/>
  <c r="J130" i="44" s="1"/>
  <c r="I132" i="44"/>
  <c r="J132" i="44" s="1"/>
  <c r="I134" i="44"/>
  <c r="J134" i="44" s="1"/>
  <c r="I136" i="44"/>
  <c r="J136" i="44" s="1"/>
  <c r="I138" i="44"/>
  <c r="J138" i="44" s="1"/>
  <c r="I140" i="44"/>
  <c r="J140" i="44" s="1"/>
  <c r="I142" i="44"/>
  <c r="J142" i="44" s="1"/>
  <c r="I144" i="44"/>
  <c r="J144" i="44" s="1"/>
  <c r="I146" i="44"/>
  <c r="J146" i="44" s="1"/>
  <c r="I148" i="44"/>
  <c r="J148" i="44" s="1"/>
  <c r="I150" i="44"/>
  <c r="J150" i="44" s="1"/>
  <c r="I152" i="44"/>
  <c r="J152" i="44" s="1"/>
  <c r="I154" i="44"/>
  <c r="J154" i="44" s="1"/>
  <c r="I156" i="44"/>
  <c r="J156" i="44" s="1"/>
  <c r="I158" i="44"/>
  <c r="J158" i="44" s="1"/>
  <c r="I160" i="44"/>
  <c r="J160" i="44" s="1"/>
  <c r="I162" i="44"/>
  <c r="J162" i="44" s="1"/>
  <c r="I164" i="44"/>
  <c r="J164" i="44" s="1"/>
  <c r="I166" i="44"/>
  <c r="J166" i="44" s="1"/>
  <c r="I168" i="44"/>
  <c r="J168" i="44" s="1"/>
  <c r="I170" i="44"/>
  <c r="J170" i="44" s="1"/>
  <c r="I172" i="44"/>
  <c r="J172" i="44" s="1"/>
  <c r="I174" i="44"/>
  <c r="J174" i="44" s="1"/>
  <c r="I176" i="44"/>
  <c r="J176" i="44" s="1"/>
  <c r="I178" i="44"/>
  <c r="J178" i="44" s="1"/>
  <c r="I180" i="44"/>
  <c r="J180" i="44" s="1"/>
  <c r="I109" i="44"/>
  <c r="J109" i="44" s="1"/>
  <c r="I111" i="44"/>
  <c r="J111" i="44" s="1"/>
  <c r="I113" i="44"/>
  <c r="J113" i="44" s="1"/>
  <c r="I115" i="44"/>
  <c r="J115" i="44" s="1"/>
  <c r="I117" i="44"/>
  <c r="J117" i="44" s="1"/>
  <c r="I119" i="44"/>
  <c r="J119" i="44" s="1"/>
  <c r="I121" i="44"/>
  <c r="J121" i="44" s="1"/>
  <c r="I123" i="44"/>
  <c r="J123" i="44" s="1"/>
  <c r="I125" i="44"/>
  <c r="J125" i="44" s="1"/>
  <c r="I127" i="44"/>
  <c r="J127" i="44" s="1"/>
  <c r="I129" i="44"/>
  <c r="J129" i="44" s="1"/>
  <c r="I131" i="44"/>
  <c r="J131" i="44" s="1"/>
  <c r="I133" i="44"/>
  <c r="J133" i="44" s="1"/>
  <c r="I135" i="44"/>
  <c r="J135" i="44" s="1"/>
  <c r="I137" i="44"/>
  <c r="J137" i="44" s="1"/>
  <c r="I139" i="44"/>
  <c r="J139" i="44" s="1"/>
  <c r="I141" i="44"/>
  <c r="J141" i="44" s="1"/>
  <c r="I143" i="44"/>
  <c r="J143" i="44" s="1"/>
  <c r="I145" i="44"/>
  <c r="J145" i="44" s="1"/>
  <c r="I147" i="44"/>
  <c r="J147" i="44" s="1"/>
  <c r="I149" i="44"/>
  <c r="J149" i="44" s="1"/>
  <c r="I151" i="44"/>
  <c r="J151" i="44" s="1"/>
  <c r="I153" i="44"/>
  <c r="J153" i="44" s="1"/>
  <c r="I155" i="44"/>
  <c r="J155" i="44" s="1"/>
  <c r="I157" i="44"/>
  <c r="J157" i="44" s="1"/>
  <c r="I159" i="44"/>
  <c r="J159" i="44" s="1"/>
  <c r="I161" i="44"/>
  <c r="J161" i="44" s="1"/>
  <c r="I163" i="44"/>
  <c r="J163" i="44" s="1"/>
  <c r="I165" i="44"/>
  <c r="J165" i="44" s="1"/>
  <c r="I167" i="44"/>
  <c r="J167" i="44" s="1"/>
  <c r="I169" i="44"/>
  <c r="J169" i="44" s="1"/>
  <c r="I171" i="44"/>
  <c r="J171" i="44" s="1"/>
  <c r="I173" i="44"/>
  <c r="J173" i="44" s="1"/>
  <c r="I175" i="44"/>
  <c r="J175" i="44" s="1"/>
  <c r="I177" i="44"/>
  <c r="J177" i="44" s="1"/>
  <c r="I179" i="44"/>
  <c r="J179" i="44" s="1"/>
  <c r="I4" i="45"/>
  <c r="J4" i="45" s="1"/>
  <c r="I6" i="45"/>
  <c r="J6" i="45" s="1"/>
  <c r="I8" i="45"/>
  <c r="J8" i="45" s="1"/>
  <c r="I9" i="45"/>
  <c r="J9" i="45" s="1"/>
  <c r="I10" i="45"/>
  <c r="J10" i="45" s="1"/>
  <c r="I11" i="45"/>
  <c r="J11" i="45" s="1"/>
  <c r="I13" i="45"/>
  <c r="J13" i="45" s="1"/>
  <c r="I16" i="45"/>
  <c r="J16" i="45" s="1"/>
  <c r="I19" i="45"/>
  <c r="J19" i="45" s="1"/>
  <c r="I21" i="45"/>
  <c r="J21" i="45" s="1"/>
  <c r="I22" i="45"/>
  <c r="J22" i="45" s="1"/>
  <c r="I24" i="45"/>
  <c r="J24" i="45" s="1"/>
  <c r="I26" i="45"/>
  <c r="J26" i="45" s="1"/>
  <c r="I28" i="45"/>
  <c r="J28" i="45" s="1"/>
  <c r="I30" i="45"/>
  <c r="J30" i="45" s="1"/>
  <c r="I33" i="45"/>
  <c r="J33" i="45" s="1"/>
  <c r="I35" i="45"/>
  <c r="J35" i="45" s="1"/>
  <c r="I37" i="45"/>
  <c r="J37" i="45" s="1"/>
  <c r="I39" i="45"/>
  <c r="J39" i="45" s="1"/>
  <c r="I41" i="45"/>
  <c r="J41" i="45" s="1"/>
  <c r="I43" i="45"/>
  <c r="J43" i="45" s="1"/>
  <c r="I45" i="45"/>
  <c r="J45" i="45" s="1"/>
  <c r="I46" i="45"/>
  <c r="J46" i="45" s="1"/>
  <c r="H3" i="45"/>
  <c r="I3" i="45" s="1"/>
  <c r="J3" i="45" s="1"/>
  <c r="H5" i="45"/>
  <c r="I5" i="45" s="1"/>
  <c r="J5" i="45" s="1"/>
  <c r="H7" i="45"/>
  <c r="I7" i="45" s="1"/>
  <c r="J7" i="45" s="1"/>
  <c r="H12" i="45"/>
  <c r="I12" i="45" s="1"/>
  <c r="J12" i="45" s="1"/>
  <c r="H14" i="45"/>
  <c r="I14" i="45" s="1"/>
  <c r="J14" i="45" s="1"/>
  <c r="H15" i="45"/>
  <c r="I15" i="45" s="1"/>
  <c r="J15" i="45" s="1"/>
  <c r="H17" i="45"/>
  <c r="I17" i="45" s="1"/>
  <c r="J17" i="45" s="1"/>
  <c r="H18" i="45"/>
  <c r="I18" i="45" s="1"/>
  <c r="J18" i="45" s="1"/>
  <c r="H20" i="45"/>
  <c r="I20" i="45" s="1"/>
  <c r="J20" i="45" s="1"/>
  <c r="H23" i="45"/>
  <c r="I23" i="45" s="1"/>
  <c r="J23" i="45" s="1"/>
  <c r="H25" i="45"/>
  <c r="I25" i="45" s="1"/>
  <c r="J25" i="45" s="1"/>
  <c r="H27" i="45"/>
  <c r="I27" i="45" s="1"/>
  <c r="J27" i="45" s="1"/>
  <c r="H29" i="45"/>
  <c r="I29" i="45" s="1"/>
  <c r="J29" i="45" s="1"/>
  <c r="H31" i="45"/>
  <c r="I31" i="45" s="1"/>
  <c r="J31" i="45" s="1"/>
  <c r="H32" i="45"/>
  <c r="I32" i="45" s="1"/>
  <c r="J32" i="45" s="1"/>
  <c r="H34" i="45"/>
  <c r="I34" i="45" s="1"/>
  <c r="J34" i="45" s="1"/>
  <c r="H36" i="45"/>
  <c r="I36" i="45" s="1"/>
  <c r="J36" i="45" s="1"/>
  <c r="H38" i="45"/>
  <c r="I38" i="45" s="1"/>
  <c r="J38" i="45" s="1"/>
  <c r="H40" i="45"/>
  <c r="I40" i="45" s="1"/>
  <c r="J40" i="45" s="1"/>
  <c r="H42" i="45"/>
  <c r="I42" i="45" s="1"/>
  <c r="J42" i="45" s="1"/>
  <c r="H44" i="45"/>
  <c r="I44" i="45" s="1"/>
  <c r="J44" i="45" s="1"/>
  <c r="H47" i="45"/>
  <c r="I47" i="45" s="1"/>
  <c r="J47" i="45" s="1"/>
  <c r="H49" i="45"/>
  <c r="I49" i="45" s="1"/>
  <c r="J49" i="45" s="1"/>
  <c r="H50" i="45"/>
  <c r="I50" i="45" s="1"/>
  <c r="J50" i="45" s="1"/>
  <c r="H51" i="45"/>
  <c r="I51" i="45" s="1"/>
  <c r="J51" i="45" s="1"/>
  <c r="H52" i="45"/>
  <c r="I52" i="45" s="1"/>
  <c r="J52" i="45" s="1"/>
  <c r="H53" i="45"/>
  <c r="I53" i="45" s="1"/>
  <c r="J53" i="45" s="1"/>
  <c r="H54" i="45"/>
  <c r="I54" i="45" s="1"/>
  <c r="J54" i="45" s="1"/>
  <c r="H55" i="45"/>
  <c r="I55" i="45" s="1"/>
  <c r="J55" i="45" s="1"/>
  <c r="H56" i="45"/>
  <c r="I56" i="45" s="1"/>
  <c r="J56" i="45" s="1"/>
  <c r="H57" i="45"/>
  <c r="I57" i="45" s="1"/>
  <c r="J57" i="45" s="1"/>
  <c r="H58" i="45"/>
  <c r="I58" i="45" s="1"/>
  <c r="J58" i="45" s="1"/>
  <c r="H59" i="45"/>
  <c r="I59" i="45" s="1"/>
  <c r="J59" i="45" s="1"/>
  <c r="H60" i="45"/>
  <c r="I60" i="45" s="1"/>
  <c r="J60" i="45" s="1"/>
  <c r="H61" i="45"/>
  <c r="I61" i="45" s="1"/>
  <c r="J61" i="45" s="1"/>
  <c r="H62" i="45"/>
  <c r="I62" i="45" s="1"/>
  <c r="J62" i="45" s="1"/>
  <c r="H63" i="45"/>
  <c r="I63" i="45" s="1"/>
  <c r="J63" i="45" s="1"/>
  <c r="H64" i="45"/>
  <c r="I64" i="45" s="1"/>
  <c r="J64" i="45" s="1"/>
  <c r="H65" i="45"/>
  <c r="I65" i="45" s="1"/>
  <c r="J65" i="45" s="1"/>
  <c r="H66" i="45"/>
  <c r="I66" i="45" s="1"/>
  <c r="J66" i="45" s="1"/>
  <c r="H67" i="45"/>
  <c r="I67" i="45" s="1"/>
  <c r="J67" i="45" s="1"/>
  <c r="H68" i="45"/>
  <c r="I68" i="45" s="1"/>
  <c r="J68" i="45" s="1"/>
  <c r="H69" i="45"/>
  <c r="I69" i="45" s="1"/>
  <c r="J69" i="45" s="1"/>
  <c r="H70" i="45"/>
  <c r="I70" i="45" s="1"/>
  <c r="J70" i="45" s="1"/>
  <c r="H71" i="45"/>
  <c r="I71" i="45" s="1"/>
  <c r="J71" i="45" s="1"/>
  <c r="H72" i="45"/>
  <c r="I72" i="45" s="1"/>
  <c r="J72" i="45" s="1"/>
  <c r="H73" i="45"/>
  <c r="I73" i="45" s="1"/>
  <c r="J73" i="45" s="1"/>
  <c r="H74" i="45"/>
  <c r="I74" i="45" s="1"/>
  <c r="J74" i="45" s="1"/>
  <c r="H75" i="45"/>
  <c r="I75" i="45" s="1"/>
  <c r="J75" i="45" s="1"/>
  <c r="H76" i="45"/>
  <c r="I76" i="45" s="1"/>
  <c r="J76" i="45" s="1"/>
  <c r="H77" i="45"/>
  <c r="I77" i="45" s="1"/>
  <c r="J77" i="45" s="1"/>
  <c r="H78" i="45"/>
  <c r="I78" i="45" s="1"/>
  <c r="J78" i="45" s="1"/>
  <c r="H79" i="45"/>
  <c r="I79" i="45" s="1"/>
  <c r="J79" i="45" s="1"/>
  <c r="H80" i="45"/>
  <c r="I80" i="45" s="1"/>
  <c r="J80" i="45" s="1"/>
  <c r="H81" i="45"/>
  <c r="I81" i="45" s="1"/>
  <c r="J81" i="45" s="1"/>
  <c r="H82" i="45"/>
  <c r="I82" i="45" s="1"/>
  <c r="J82" i="45" s="1"/>
  <c r="H83" i="45"/>
  <c r="I83" i="45" s="1"/>
  <c r="J83" i="45" s="1"/>
  <c r="H84" i="45"/>
  <c r="I84" i="45" s="1"/>
  <c r="J84" i="45" s="1"/>
  <c r="H85" i="45"/>
  <c r="I85" i="45" s="1"/>
  <c r="J85" i="45" s="1"/>
  <c r="H86" i="45"/>
  <c r="I86" i="45" s="1"/>
  <c r="J86" i="45" s="1"/>
  <c r="H87" i="45"/>
  <c r="I87" i="45" s="1"/>
  <c r="J87" i="45" s="1"/>
  <c r="H88" i="45"/>
  <c r="I88" i="45" s="1"/>
  <c r="J88" i="45" s="1"/>
  <c r="H89" i="45"/>
  <c r="I89" i="45" s="1"/>
  <c r="J89" i="45" s="1"/>
  <c r="H90" i="45"/>
  <c r="I90" i="45" s="1"/>
  <c r="J90" i="45" s="1"/>
  <c r="H91" i="45"/>
  <c r="I91" i="45" s="1"/>
  <c r="J91" i="45" s="1"/>
  <c r="H92" i="45"/>
  <c r="I92" i="45" s="1"/>
  <c r="J92" i="45" s="1"/>
  <c r="H93" i="45"/>
  <c r="I93" i="45" s="1"/>
  <c r="J93" i="45" s="1"/>
  <c r="H94" i="45"/>
  <c r="I94" i="45" s="1"/>
  <c r="J94" i="45" s="1"/>
  <c r="H95" i="45"/>
  <c r="I95" i="45" s="1"/>
  <c r="J95" i="45" s="1"/>
  <c r="H96" i="45"/>
  <c r="I96" i="45" s="1"/>
  <c r="J96" i="45" s="1"/>
  <c r="H97" i="45"/>
  <c r="I97" i="45" s="1"/>
  <c r="J97" i="45" s="1"/>
  <c r="H98" i="45"/>
  <c r="I98" i="45" s="1"/>
  <c r="J98" i="45" s="1"/>
  <c r="H99" i="45"/>
  <c r="I99" i="45" s="1"/>
  <c r="J99" i="45" s="1"/>
  <c r="H100" i="45"/>
  <c r="I100" i="45" s="1"/>
  <c r="J100" i="45" s="1"/>
  <c r="H101" i="45"/>
  <c r="I101" i="45" s="1"/>
  <c r="J101" i="45" s="1"/>
  <c r="H102" i="45"/>
  <c r="I102" i="45" s="1"/>
  <c r="J102" i="45" s="1"/>
  <c r="H103" i="45"/>
  <c r="I103" i="45" s="1"/>
  <c r="J103" i="45" s="1"/>
  <c r="H104" i="45"/>
  <c r="I104" i="45" s="1"/>
  <c r="J104" i="45" s="1"/>
  <c r="H105" i="45"/>
  <c r="I105" i="45" s="1"/>
  <c r="J105" i="45" s="1"/>
  <c r="H106" i="45"/>
  <c r="I106" i="45" s="1"/>
  <c r="J106" i="45" s="1"/>
  <c r="H107" i="45"/>
  <c r="I107" i="45" s="1"/>
  <c r="J107" i="45" s="1"/>
  <c r="H108" i="45"/>
  <c r="I108" i="45" s="1"/>
  <c r="J108" i="45" s="1"/>
  <c r="H109" i="45"/>
  <c r="I109" i="45" s="1"/>
  <c r="J109" i="45" s="1"/>
  <c r="H110" i="45"/>
  <c r="I110" i="45" s="1"/>
  <c r="J110" i="45" s="1"/>
  <c r="H111" i="45"/>
  <c r="I111" i="45" s="1"/>
  <c r="J111" i="45" s="1"/>
  <c r="H112" i="45"/>
  <c r="I112" i="45" s="1"/>
  <c r="J112" i="45" s="1"/>
  <c r="H113" i="45"/>
  <c r="I113" i="45" s="1"/>
  <c r="J113" i="45" s="1"/>
  <c r="H114" i="45"/>
  <c r="I114" i="45" s="1"/>
  <c r="J114" i="45" s="1"/>
  <c r="H115" i="45"/>
  <c r="I115" i="45" s="1"/>
  <c r="J115" i="45" s="1"/>
  <c r="H116" i="45"/>
  <c r="I116" i="45" s="1"/>
  <c r="J116" i="45" s="1"/>
  <c r="H117" i="45"/>
  <c r="I117" i="45" s="1"/>
  <c r="J117" i="45" s="1"/>
  <c r="H118" i="45"/>
  <c r="I118" i="45" s="1"/>
  <c r="J118" i="45" s="1"/>
  <c r="H119" i="45"/>
  <c r="I119" i="45" s="1"/>
  <c r="J119" i="45" s="1"/>
  <c r="H120" i="45"/>
  <c r="I120" i="45" s="1"/>
  <c r="J120" i="45" s="1"/>
  <c r="H121" i="45"/>
  <c r="I121" i="45" s="1"/>
  <c r="J121" i="45" s="1"/>
  <c r="H122" i="45"/>
  <c r="I122" i="45" s="1"/>
  <c r="J122" i="45" s="1"/>
  <c r="I123" i="45"/>
  <c r="J123" i="45" s="1"/>
  <c r="I124" i="45"/>
  <c r="J124" i="45" s="1"/>
  <c r="I125" i="45"/>
  <c r="J125" i="45" s="1"/>
  <c r="I126" i="45"/>
  <c r="J126" i="45" s="1"/>
  <c r="I127" i="45"/>
  <c r="J127" i="45" s="1"/>
  <c r="I128" i="45"/>
  <c r="J128" i="45" s="1"/>
  <c r="I129" i="45"/>
  <c r="J129" i="45" s="1"/>
  <c r="I130" i="45"/>
  <c r="J130" i="45" s="1"/>
  <c r="I131" i="45"/>
  <c r="J131" i="45" s="1"/>
  <c r="I132" i="45"/>
  <c r="J132" i="45" s="1"/>
  <c r="I133" i="45"/>
  <c r="J133" i="45" s="1"/>
  <c r="I134" i="45"/>
  <c r="J134" i="45" s="1"/>
  <c r="I135" i="45"/>
  <c r="J135" i="45" s="1"/>
  <c r="I136" i="45"/>
  <c r="J136" i="45" s="1"/>
  <c r="I137" i="45"/>
  <c r="J137" i="45" s="1"/>
  <c r="I138" i="45"/>
  <c r="J138" i="45" s="1"/>
  <c r="I139" i="45"/>
  <c r="J139" i="45" s="1"/>
  <c r="I140" i="45"/>
  <c r="J140" i="45" s="1"/>
  <c r="I141" i="45"/>
  <c r="J141" i="45" s="1"/>
  <c r="I142" i="45"/>
  <c r="J142" i="45" s="1"/>
  <c r="I143" i="45"/>
  <c r="J143" i="45" s="1"/>
  <c r="I144" i="45"/>
  <c r="J144" i="45" s="1"/>
  <c r="I145" i="45"/>
  <c r="J145" i="45" s="1"/>
  <c r="I146" i="45"/>
  <c r="J146" i="45" s="1"/>
  <c r="I147" i="45"/>
  <c r="J147" i="45" s="1"/>
  <c r="I148" i="45"/>
  <c r="J148" i="45" s="1"/>
  <c r="I149" i="45"/>
  <c r="J149" i="45" s="1"/>
  <c r="I150" i="45"/>
  <c r="J150" i="45" s="1"/>
  <c r="I151" i="45"/>
  <c r="J151" i="45" s="1"/>
  <c r="I152" i="45"/>
  <c r="J152" i="45" s="1"/>
  <c r="I153" i="45"/>
  <c r="J153" i="45" s="1"/>
  <c r="I154" i="45"/>
  <c r="J154" i="45" s="1"/>
  <c r="I155" i="45"/>
  <c r="J155" i="45" s="1"/>
  <c r="I156" i="45"/>
  <c r="J156" i="45" s="1"/>
  <c r="I157" i="45"/>
  <c r="J157" i="45" s="1"/>
  <c r="I158" i="45"/>
  <c r="J158" i="45" s="1"/>
  <c r="I159" i="45"/>
  <c r="J159" i="45" s="1"/>
  <c r="I160" i="45"/>
  <c r="J160" i="45" s="1"/>
  <c r="I161" i="45"/>
  <c r="J161" i="45" s="1"/>
  <c r="I162" i="45"/>
  <c r="J162" i="45" s="1"/>
  <c r="I163" i="45"/>
  <c r="J163" i="45" s="1"/>
  <c r="I164" i="45"/>
  <c r="J164" i="45" s="1"/>
  <c r="I165" i="45"/>
  <c r="J165" i="45" s="1"/>
  <c r="I166" i="45"/>
  <c r="J166" i="45" s="1"/>
  <c r="I167" i="45"/>
  <c r="J167" i="45" s="1"/>
  <c r="I168" i="45"/>
  <c r="J168" i="45" s="1"/>
  <c r="I169" i="45"/>
  <c r="J169" i="45" s="1"/>
  <c r="I170" i="45"/>
  <c r="J170" i="45" s="1"/>
  <c r="I171" i="45"/>
  <c r="J171" i="45" s="1"/>
  <c r="I172" i="45"/>
  <c r="J172" i="45" s="1"/>
  <c r="I173" i="45"/>
  <c r="J173" i="45" s="1"/>
  <c r="I174" i="45"/>
  <c r="J174" i="45" s="1"/>
  <c r="I175" i="45"/>
  <c r="J175" i="45" s="1"/>
  <c r="I176" i="45"/>
  <c r="J176" i="45" s="1"/>
  <c r="I177" i="45"/>
  <c r="J177" i="45" s="1"/>
  <c r="I178" i="45"/>
  <c r="J178" i="45" s="1"/>
  <c r="I179" i="45"/>
  <c r="J179" i="45" s="1"/>
  <c r="I180" i="45"/>
  <c r="J180" i="45" s="1"/>
  <c r="I181" i="45"/>
  <c r="J181" i="45" s="1"/>
  <c r="I182" i="45"/>
  <c r="J182" i="45" s="1"/>
  <c r="I183" i="45"/>
  <c r="J183" i="45" s="1"/>
  <c r="I184" i="45"/>
  <c r="J184" i="45" s="1"/>
  <c r="I185" i="45"/>
  <c r="J185" i="45" s="1"/>
  <c r="I186" i="45"/>
  <c r="J186" i="45" s="1"/>
  <c r="I187" i="45"/>
  <c r="J187" i="45" s="1"/>
  <c r="I188" i="45"/>
  <c r="J188" i="45" s="1"/>
  <c r="I189" i="45"/>
  <c r="J189" i="45" s="1"/>
  <c r="I190" i="45"/>
  <c r="J190" i="45" s="1"/>
  <c r="I191" i="45"/>
  <c r="J191" i="45" s="1"/>
  <c r="I192" i="45"/>
  <c r="J192" i="45" s="1"/>
  <c r="I193" i="45"/>
  <c r="J193" i="45" s="1"/>
  <c r="I194" i="45"/>
  <c r="J194" i="45" s="1"/>
  <c r="I195" i="45"/>
  <c r="J195" i="45" s="1"/>
  <c r="I196" i="45"/>
  <c r="J196" i="45" s="1"/>
  <c r="I197" i="45"/>
  <c r="J197" i="45" s="1"/>
  <c r="I198" i="45"/>
  <c r="J198" i="45" s="1"/>
  <c r="I199" i="45"/>
  <c r="J199" i="45" s="1"/>
  <c r="I200" i="45"/>
  <c r="J200" i="45" s="1"/>
  <c r="I201" i="45"/>
  <c r="J201" i="45" s="1"/>
  <c r="H207" i="45"/>
  <c r="I207" i="45" s="1"/>
  <c r="J207" i="45" s="1"/>
  <c r="H208" i="45"/>
  <c r="I208" i="45" s="1"/>
  <c r="J208" i="45" s="1"/>
  <c r="H209" i="45"/>
  <c r="I209" i="45" s="1"/>
  <c r="J209" i="45" s="1"/>
  <c r="H210" i="45"/>
  <c r="I210" i="45" s="1"/>
  <c r="J210" i="45" s="1"/>
  <c r="H211" i="45"/>
  <c r="I211" i="45" s="1"/>
  <c r="J211" i="45" s="1"/>
  <c r="H212" i="45"/>
  <c r="I212" i="45" s="1"/>
  <c r="J212" i="45" s="1"/>
  <c r="H213" i="45"/>
  <c r="I213" i="45" s="1"/>
  <c r="J213" i="45" s="1"/>
  <c r="H214" i="45"/>
  <c r="I214" i="45" s="1"/>
  <c r="J214" i="45" s="1"/>
  <c r="H215" i="45"/>
  <c r="I215" i="45" s="1"/>
  <c r="J215" i="45" s="1"/>
  <c r="H216" i="45"/>
  <c r="I216" i="45" s="1"/>
  <c r="J216" i="45" s="1"/>
  <c r="H217" i="45"/>
  <c r="I217" i="45" s="1"/>
  <c r="J217" i="45" s="1"/>
  <c r="H218" i="45"/>
  <c r="I218" i="45" s="1"/>
  <c r="J218" i="45" s="1"/>
  <c r="H219" i="45"/>
  <c r="I219" i="45" s="1"/>
  <c r="J219" i="45" s="1"/>
  <c r="H220" i="45"/>
  <c r="I220" i="45" s="1"/>
  <c r="J220" i="45" s="1"/>
  <c r="H221" i="45"/>
  <c r="I221" i="45" s="1"/>
  <c r="J221" i="45" s="1"/>
  <c r="H222" i="45"/>
  <c r="I222" i="45" s="1"/>
  <c r="J222" i="45" s="1"/>
  <c r="H223" i="45"/>
  <c r="I223" i="45" s="1"/>
  <c r="J223" i="45" s="1"/>
  <c r="H224" i="45"/>
  <c r="I224" i="45" s="1"/>
  <c r="J224" i="45" s="1"/>
  <c r="H225" i="45"/>
  <c r="I225" i="45" s="1"/>
  <c r="J225" i="45" s="1"/>
  <c r="H226" i="45"/>
  <c r="I226" i="45" s="1"/>
  <c r="J226" i="45" s="1"/>
  <c r="H227" i="45"/>
  <c r="I227" i="45" s="1"/>
  <c r="J227" i="45" s="1"/>
  <c r="H228" i="45"/>
  <c r="I228" i="45" s="1"/>
  <c r="J228" i="45" s="1"/>
  <c r="H229" i="45"/>
  <c r="I229" i="45" s="1"/>
  <c r="J229" i="45" s="1"/>
  <c r="H230" i="45"/>
  <c r="I230" i="45" s="1"/>
  <c r="J230" i="45" s="1"/>
  <c r="H231" i="45"/>
  <c r="I231" i="45" s="1"/>
  <c r="J231" i="45" s="1"/>
  <c r="H232" i="45"/>
  <c r="I232" i="45" s="1"/>
  <c r="J232" i="45" s="1"/>
  <c r="H233" i="45"/>
  <c r="I233" i="45" s="1"/>
  <c r="J233" i="45" s="1"/>
  <c r="H234" i="45"/>
  <c r="I234" i="45" s="1"/>
  <c r="J234" i="45" s="1"/>
  <c r="H235" i="45"/>
  <c r="I235" i="45" s="1"/>
  <c r="J235" i="45" s="1"/>
  <c r="H236" i="45"/>
  <c r="I236" i="45" s="1"/>
  <c r="J236" i="45" s="1"/>
  <c r="H237" i="45"/>
  <c r="I237" i="45" s="1"/>
  <c r="J237" i="45" s="1"/>
  <c r="H238" i="45"/>
  <c r="I238" i="45" s="1"/>
  <c r="J238" i="45" s="1"/>
  <c r="H239" i="45"/>
  <c r="I239" i="45" s="1"/>
  <c r="J239" i="45" s="1"/>
  <c r="H240" i="45"/>
  <c r="I240" i="45" s="1"/>
  <c r="J240" i="45" s="1"/>
  <c r="H241" i="45"/>
  <c r="I241" i="45" s="1"/>
  <c r="J241" i="45" s="1"/>
  <c r="H242" i="45"/>
  <c r="I242" i="45" s="1"/>
  <c r="J242" i="45" s="1"/>
  <c r="H243" i="45"/>
  <c r="I243" i="45" s="1"/>
  <c r="J243" i="45" s="1"/>
  <c r="H244" i="45"/>
  <c r="I244" i="45" s="1"/>
  <c r="J244" i="45" s="1"/>
  <c r="H245" i="45"/>
  <c r="I245" i="45" s="1"/>
  <c r="J245" i="45" s="1"/>
  <c r="H246" i="45"/>
  <c r="I246" i="45" s="1"/>
  <c r="J246" i="45" s="1"/>
  <c r="H247" i="45"/>
  <c r="I247" i="45" s="1"/>
  <c r="J247" i="45" s="1"/>
  <c r="H248" i="45"/>
  <c r="I248" i="45" s="1"/>
  <c r="J248" i="45" s="1"/>
  <c r="H249" i="45"/>
  <c r="I249" i="45" s="1"/>
  <c r="J249" i="45" s="1"/>
  <c r="H250" i="45"/>
  <c r="I250" i="45" s="1"/>
  <c r="J250" i="45" s="1"/>
  <c r="I107" i="44"/>
  <c r="J107" i="44" s="1"/>
  <c r="I108" i="44"/>
  <c r="J108" i="44" s="1"/>
  <c r="I10" i="44"/>
  <c r="J10" i="44" s="1"/>
  <c r="I13" i="44"/>
  <c r="J13" i="44" s="1"/>
  <c r="I14" i="44"/>
  <c r="J14" i="44" s="1"/>
  <c r="I21" i="44"/>
  <c r="J21" i="44" s="1"/>
  <c r="I22" i="44"/>
  <c r="J22" i="44" s="1"/>
  <c r="I23" i="44"/>
  <c r="J23" i="44" s="1"/>
  <c r="I25" i="44"/>
  <c r="J25" i="44" s="1"/>
  <c r="I26" i="44"/>
  <c r="J26" i="44" s="1"/>
  <c r="I30" i="44"/>
  <c r="J30" i="44" s="1"/>
  <c r="H4" i="44"/>
  <c r="I4" i="44" s="1"/>
  <c r="J4" i="44" s="1"/>
  <c r="H5" i="44"/>
  <c r="I5" i="44" s="1"/>
  <c r="J5" i="44" s="1"/>
  <c r="H6" i="44"/>
  <c r="I6" i="44" s="1"/>
  <c r="J6" i="44" s="1"/>
  <c r="H7" i="44"/>
  <c r="I7" i="44" s="1"/>
  <c r="J7" i="44" s="1"/>
  <c r="H8" i="44"/>
  <c r="I8" i="44" s="1"/>
  <c r="J8" i="44" s="1"/>
  <c r="H9" i="44"/>
  <c r="I9" i="44" s="1"/>
  <c r="J9" i="44" s="1"/>
  <c r="H11" i="44"/>
  <c r="I11" i="44" s="1"/>
  <c r="J11" i="44" s="1"/>
  <c r="H12" i="44"/>
  <c r="I12" i="44" s="1"/>
  <c r="J12" i="44" s="1"/>
  <c r="H15" i="44"/>
  <c r="I15" i="44" s="1"/>
  <c r="J15" i="44" s="1"/>
  <c r="H16" i="44"/>
  <c r="I16" i="44" s="1"/>
  <c r="J16" i="44" s="1"/>
  <c r="H17" i="44"/>
  <c r="I17" i="44" s="1"/>
  <c r="J17" i="44" s="1"/>
  <c r="H18" i="44"/>
  <c r="I18" i="44" s="1"/>
  <c r="J18" i="44" s="1"/>
  <c r="H19" i="44"/>
  <c r="I19" i="44" s="1"/>
  <c r="J19" i="44" s="1"/>
  <c r="H20" i="44"/>
  <c r="I20" i="44" s="1"/>
  <c r="J20" i="44" s="1"/>
  <c r="H24" i="44"/>
  <c r="I24" i="44" s="1"/>
  <c r="J24" i="44" s="1"/>
  <c r="H27" i="44"/>
  <c r="I27" i="44" s="1"/>
  <c r="J27" i="44" s="1"/>
  <c r="H28" i="44"/>
  <c r="I28" i="44" s="1"/>
  <c r="J28" i="44" s="1"/>
  <c r="H29" i="44"/>
  <c r="I29" i="44" s="1"/>
  <c r="J29" i="44" s="1"/>
  <c r="H31" i="44"/>
  <c r="I31" i="44" s="1"/>
  <c r="J31" i="44" s="1"/>
  <c r="H32" i="44"/>
  <c r="I32" i="44" s="1"/>
  <c r="J32" i="44" s="1"/>
  <c r="H33" i="44"/>
  <c r="I33" i="44" s="1"/>
  <c r="J33" i="44" s="1"/>
  <c r="H34" i="44"/>
  <c r="I34" i="44" s="1"/>
  <c r="J34" i="44" s="1"/>
  <c r="H35" i="44"/>
  <c r="I35" i="44" s="1"/>
  <c r="J35" i="44" s="1"/>
  <c r="H36" i="44"/>
  <c r="I36" i="44" s="1"/>
  <c r="J36" i="44" s="1"/>
  <c r="H37" i="44"/>
  <c r="I37" i="44" s="1"/>
  <c r="J37" i="44" s="1"/>
  <c r="H38" i="44"/>
  <c r="I38" i="44" s="1"/>
  <c r="J38" i="44" s="1"/>
  <c r="H39" i="44"/>
  <c r="I39" i="44" s="1"/>
  <c r="J39" i="44" s="1"/>
  <c r="H40" i="44"/>
  <c r="I40" i="44" s="1"/>
  <c r="J40" i="44" s="1"/>
  <c r="H41" i="44"/>
  <c r="I41" i="44" s="1"/>
  <c r="J41" i="44" s="1"/>
  <c r="H42" i="44"/>
  <c r="I42" i="44" s="1"/>
  <c r="J42" i="44" s="1"/>
  <c r="H43" i="44"/>
  <c r="I43" i="44" s="1"/>
  <c r="J43" i="44" s="1"/>
  <c r="H44" i="44"/>
  <c r="I44" i="44" s="1"/>
  <c r="J44" i="44" s="1"/>
  <c r="H45" i="44"/>
  <c r="I45" i="44" s="1"/>
  <c r="J45" i="44" s="1"/>
  <c r="H46" i="44"/>
  <c r="I46" i="44" s="1"/>
  <c r="J46" i="44" s="1"/>
  <c r="H47" i="44"/>
  <c r="I47" i="44" s="1"/>
  <c r="J47" i="44" s="1"/>
  <c r="H48" i="44"/>
  <c r="I48" i="44" s="1"/>
  <c r="J48" i="44" s="1"/>
  <c r="H49" i="44"/>
  <c r="I49" i="44" s="1"/>
  <c r="J49" i="44" s="1"/>
  <c r="H50" i="44"/>
  <c r="I50" i="44" s="1"/>
  <c r="J50" i="44" s="1"/>
  <c r="H51" i="44"/>
  <c r="I51" i="44" s="1"/>
  <c r="J51" i="44" s="1"/>
  <c r="H52" i="44"/>
  <c r="I52" i="44" s="1"/>
  <c r="J52" i="44" s="1"/>
  <c r="H53" i="44"/>
  <c r="I53" i="44" s="1"/>
  <c r="J53" i="44" s="1"/>
  <c r="H54" i="44"/>
  <c r="I54" i="44" s="1"/>
  <c r="J54" i="44" s="1"/>
  <c r="H55" i="44"/>
  <c r="I55" i="44" s="1"/>
  <c r="J55" i="44" s="1"/>
  <c r="H56" i="44"/>
  <c r="I56" i="44" s="1"/>
  <c r="J56" i="44" s="1"/>
  <c r="H57" i="44"/>
  <c r="I57" i="44" s="1"/>
  <c r="J57" i="44" s="1"/>
  <c r="H58" i="44"/>
  <c r="I58" i="44" s="1"/>
  <c r="J58" i="44" s="1"/>
  <c r="H59" i="44"/>
  <c r="I59" i="44" s="1"/>
  <c r="J59" i="44" s="1"/>
  <c r="H60" i="44"/>
  <c r="I60" i="44" s="1"/>
  <c r="J60" i="44" s="1"/>
  <c r="H61" i="44"/>
  <c r="I61" i="44" s="1"/>
  <c r="J61" i="44" s="1"/>
  <c r="H62" i="44"/>
  <c r="I62" i="44" s="1"/>
  <c r="J62" i="44" s="1"/>
  <c r="H63" i="44"/>
  <c r="I63" i="44" s="1"/>
  <c r="J63" i="44" s="1"/>
  <c r="H64" i="44"/>
  <c r="I64" i="44" s="1"/>
  <c r="J64" i="44" s="1"/>
  <c r="H65" i="44"/>
  <c r="I65" i="44" s="1"/>
  <c r="J65" i="44" s="1"/>
  <c r="H66" i="44"/>
  <c r="I66" i="44" s="1"/>
  <c r="J66" i="44" s="1"/>
  <c r="H67" i="44"/>
  <c r="I67" i="44" s="1"/>
  <c r="J67" i="44" s="1"/>
  <c r="H68" i="44"/>
  <c r="I68" i="44" s="1"/>
  <c r="J68" i="44" s="1"/>
  <c r="H69" i="44"/>
  <c r="I69" i="44" s="1"/>
  <c r="J69" i="44" s="1"/>
  <c r="H70" i="44"/>
  <c r="I70" i="44" s="1"/>
  <c r="J70" i="44" s="1"/>
  <c r="H71" i="44"/>
  <c r="I71" i="44" s="1"/>
  <c r="J71" i="44" s="1"/>
  <c r="H72" i="44"/>
  <c r="I72" i="44" s="1"/>
  <c r="J72" i="44" s="1"/>
  <c r="H73" i="44"/>
  <c r="I73" i="44" s="1"/>
  <c r="J73" i="44" s="1"/>
  <c r="H74" i="44"/>
  <c r="I74" i="44" s="1"/>
  <c r="J74" i="44" s="1"/>
  <c r="H75" i="44"/>
  <c r="I75" i="44" s="1"/>
  <c r="J75" i="44" s="1"/>
  <c r="H76" i="44"/>
  <c r="I76" i="44" s="1"/>
  <c r="J76" i="44" s="1"/>
  <c r="H77" i="44"/>
  <c r="I77" i="44" s="1"/>
  <c r="J77" i="44" s="1"/>
  <c r="H78" i="44"/>
  <c r="I78" i="44" s="1"/>
  <c r="J78" i="44" s="1"/>
  <c r="H79" i="44"/>
  <c r="I79" i="44" s="1"/>
  <c r="J79" i="44" s="1"/>
  <c r="H80" i="44"/>
  <c r="I80" i="44" s="1"/>
  <c r="J80" i="44" s="1"/>
  <c r="H81" i="44"/>
  <c r="I81" i="44" s="1"/>
  <c r="J81" i="44" s="1"/>
  <c r="H82" i="44"/>
  <c r="I82" i="44" s="1"/>
  <c r="J82" i="44" s="1"/>
  <c r="H83" i="44"/>
  <c r="I83" i="44" s="1"/>
  <c r="J83" i="44" s="1"/>
  <c r="H84" i="44"/>
  <c r="I84" i="44" s="1"/>
  <c r="J84" i="44" s="1"/>
  <c r="H85" i="44"/>
  <c r="I85" i="44" s="1"/>
  <c r="J85" i="44" s="1"/>
  <c r="H86" i="44"/>
  <c r="I86" i="44" s="1"/>
  <c r="J86" i="44" s="1"/>
  <c r="H87" i="44"/>
  <c r="I87" i="44" s="1"/>
  <c r="J87" i="44" s="1"/>
  <c r="H88" i="44"/>
  <c r="I88" i="44" s="1"/>
  <c r="J88" i="44" s="1"/>
  <c r="H89" i="44"/>
  <c r="I89" i="44" s="1"/>
  <c r="J89" i="44" s="1"/>
  <c r="H90" i="44"/>
  <c r="I90" i="44" s="1"/>
  <c r="J90" i="44" s="1"/>
  <c r="H91" i="44"/>
  <c r="I91" i="44" s="1"/>
  <c r="J91" i="44" s="1"/>
  <c r="H92" i="44"/>
  <c r="I92" i="44" s="1"/>
  <c r="J92" i="44" s="1"/>
  <c r="H93" i="44"/>
  <c r="I93" i="44" s="1"/>
  <c r="J93" i="44" s="1"/>
  <c r="H94" i="44"/>
  <c r="I94" i="44" s="1"/>
  <c r="J94" i="44" s="1"/>
  <c r="H95" i="44"/>
  <c r="I95" i="44" s="1"/>
  <c r="J95" i="44" s="1"/>
  <c r="H96" i="44"/>
  <c r="I96" i="44" s="1"/>
  <c r="J96" i="44" s="1"/>
  <c r="H97" i="44"/>
  <c r="I97" i="44" s="1"/>
  <c r="J97" i="44" s="1"/>
  <c r="H98" i="44"/>
  <c r="I98" i="44" s="1"/>
  <c r="J98" i="44" s="1"/>
  <c r="H99" i="44"/>
  <c r="I99" i="44" s="1"/>
  <c r="J99" i="44" s="1"/>
  <c r="H100" i="44"/>
  <c r="I100" i="44" s="1"/>
  <c r="J100" i="44" s="1"/>
  <c r="H101" i="44"/>
  <c r="I101" i="44" s="1"/>
  <c r="J101" i="44" s="1"/>
  <c r="H102" i="44"/>
  <c r="I102" i="44" s="1"/>
  <c r="J102" i="44" s="1"/>
  <c r="H103" i="44"/>
  <c r="I103" i="44" s="1"/>
  <c r="J103" i="44" s="1"/>
  <c r="H104" i="44"/>
  <c r="I104" i="44" s="1"/>
  <c r="J104" i="44" s="1"/>
  <c r="H105" i="44"/>
  <c r="I105" i="44" s="1"/>
  <c r="J105" i="44" s="1"/>
  <c r="H106" i="44"/>
  <c r="I106" i="44" s="1"/>
  <c r="J106" i="44" s="1"/>
  <c r="H181" i="44"/>
  <c r="I181" i="44" s="1"/>
  <c r="J181" i="44" s="1"/>
  <c r="H182" i="44"/>
  <c r="I182" i="44" s="1"/>
  <c r="J182" i="44" s="1"/>
  <c r="H183" i="44"/>
  <c r="I183" i="44" s="1"/>
  <c r="J183" i="44" s="1"/>
  <c r="H184" i="44"/>
  <c r="I184" i="44" s="1"/>
  <c r="J184" i="44" s="1"/>
  <c r="H185" i="44"/>
  <c r="I185" i="44" s="1"/>
  <c r="J185" i="44" s="1"/>
  <c r="H186" i="44"/>
  <c r="I186" i="44" s="1"/>
  <c r="J186" i="44" s="1"/>
  <c r="H187" i="44"/>
  <c r="I187" i="44" s="1"/>
  <c r="J187" i="44" s="1"/>
  <c r="H188" i="44"/>
  <c r="I188" i="44" s="1"/>
  <c r="J188" i="44" s="1"/>
  <c r="H189" i="44"/>
  <c r="I189" i="44" s="1"/>
  <c r="J189" i="44" s="1"/>
  <c r="H190" i="44"/>
  <c r="I190" i="44" s="1"/>
  <c r="J190" i="44" s="1"/>
  <c r="H191" i="44"/>
  <c r="I191" i="44" s="1"/>
  <c r="J191" i="44" s="1"/>
  <c r="H192" i="44"/>
  <c r="I192" i="44" s="1"/>
  <c r="J192" i="44" s="1"/>
  <c r="H193" i="44"/>
  <c r="I193" i="44" s="1"/>
  <c r="J193" i="44" s="1"/>
  <c r="H194" i="44"/>
  <c r="I194" i="44" s="1"/>
  <c r="J194" i="44" s="1"/>
  <c r="H195" i="44"/>
  <c r="I195" i="44" s="1"/>
  <c r="J195" i="44" s="1"/>
  <c r="H196" i="44"/>
  <c r="I196" i="44" s="1"/>
  <c r="J196" i="44" s="1"/>
  <c r="H197" i="44"/>
  <c r="I197" i="44" s="1"/>
  <c r="J197" i="44" s="1"/>
  <c r="H198" i="44"/>
  <c r="I198" i="44" s="1"/>
  <c r="J198" i="44" s="1"/>
  <c r="H199" i="44"/>
  <c r="I199" i="44" s="1"/>
  <c r="J199" i="44" s="1"/>
  <c r="H200" i="44"/>
  <c r="I200" i="44" s="1"/>
  <c r="J200" i="44" s="1"/>
  <c r="H201" i="44"/>
  <c r="I201" i="44" s="1"/>
  <c r="J201" i="44" s="1"/>
  <c r="H202" i="44"/>
  <c r="I202" i="44" s="1"/>
  <c r="J202" i="44" s="1"/>
  <c r="H203" i="44"/>
  <c r="I203" i="44" s="1"/>
  <c r="J203" i="44" s="1"/>
  <c r="H204" i="44"/>
  <c r="I204" i="44" s="1"/>
  <c r="J204" i="44" s="1"/>
  <c r="H205" i="44"/>
  <c r="I205" i="44" s="1"/>
  <c r="J205" i="44" s="1"/>
  <c r="H206" i="44"/>
  <c r="I206" i="44" s="1"/>
  <c r="J206" i="44" s="1"/>
  <c r="H207" i="44"/>
  <c r="I207" i="44" s="1"/>
  <c r="J207" i="44" s="1"/>
  <c r="H208" i="44"/>
  <c r="I208" i="44" s="1"/>
  <c r="J208" i="44" s="1"/>
  <c r="H209" i="44"/>
  <c r="I209" i="44" s="1"/>
  <c r="J209" i="44" s="1"/>
  <c r="H210" i="44"/>
  <c r="I210" i="44" s="1"/>
  <c r="J210" i="44" s="1"/>
  <c r="H211" i="44"/>
  <c r="I211" i="44" s="1"/>
  <c r="J211" i="44" s="1"/>
  <c r="H212" i="44"/>
  <c r="I212" i="44" s="1"/>
  <c r="J212" i="44" s="1"/>
  <c r="H213" i="44"/>
  <c r="I213" i="44" s="1"/>
  <c r="J213" i="44" s="1"/>
  <c r="H214" i="44"/>
  <c r="I214" i="44" s="1"/>
  <c r="J214" i="44" s="1"/>
  <c r="H215" i="44"/>
  <c r="I215" i="44" s="1"/>
  <c r="J215" i="44" s="1"/>
  <c r="H216" i="44"/>
  <c r="I216" i="44" s="1"/>
  <c r="J216" i="44" s="1"/>
  <c r="H217" i="44"/>
  <c r="I217" i="44" s="1"/>
  <c r="J217" i="44" s="1"/>
  <c r="H218" i="44"/>
  <c r="I218" i="44" s="1"/>
  <c r="J218" i="44" s="1"/>
  <c r="H219" i="44"/>
  <c r="I219" i="44" s="1"/>
  <c r="J219" i="44" s="1"/>
  <c r="H220" i="44"/>
  <c r="I220" i="44" s="1"/>
  <c r="J220" i="44" s="1"/>
  <c r="H221" i="44"/>
  <c r="I221" i="44" s="1"/>
  <c r="J221" i="44" s="1"/>
  <c r="H222" i="44"/>
  <c r="I222" i="44" s="1"/>
  <c r="J222" i="44" s="1"/>
  <c r="H223" i="44"/>
  <c r="I223" i="44" s="1"/>
  <c r="J223" i="44" s="1"/>
  <c r="H224" i="44"/>
  <c r="I224" i="44" s="1"/>
  <c r="J224" i="44" s="1"/>
  <c r="H225" i="44"/>
  <c r="I225" i="44" s="1"/>
  <c r="J225" i="44" s="1"/>
  <c r="H226" i="44"/>
  <c r="I226" i="44" s="1"/>
  <c r="J226" i="44" s="1"/>
  <c r="H227" i="44"/>
  <c r="I227" i="44" s="1"/>
  <c r="J227" i="44" s="1"/>
  <c r="H228" i="44"/>
  <c r="I228" i="44" s="1"/>
  <c r="J228" i="44" s="1"/>
  <c r="H229" i="44"/>
  <c r="I229" i="44" s="1"/>
  <c r="J229" i="44" s="1"/>
  <c r="H230" i="44"/>
  <c r="I230" i="44" s="1"/>
  <c r="J230" i="44" s="1"/>
  <c r="H231" i="44"/>
  <c r="I231" i="44" s="1"/>
  <c r="J231" i="44" s="1"/>
  <c r="H232" i="44"/>
  <c r="I232" i="44" s="1"/>
  <c r="J232" i="44" s="1"/>
  <c r="H233" i="44"/>
  <c r="I233" i="44" s="1"/>
  <c r="J233" i="44" s="1"/>
  <c r="H234" i="44"/>
  <c r="I234" i="44" s="1"/>
  <c r="J234" i="44" s="1"/>
  <c r="H235" i="44"/>
  <c r="I235" i="44" s="1"/>
  <c r="J235" i="44" s="1"/>
  <c r="H236" i="44"/>
  <c r="I236" i="44" s="1"/>
  <c r="J236" i="44" s="1"/>
  <c r="I3" i="44"/>
  <c r="J3" i="44" s="1"/>
  <c r="G175" i="43"/>
  <c r="G174" i="43"/>
  <c r="G173" i="43"/>
  <c r="G172" i="43"/>
  <c r="G171" i="43"/>
  <c r="G170" i="43"/>
  <c r="G169" i="43"/>
  <c r="G168" i="43"/>
  <c r="G167" i="43"/>
  <c r="G166" i="43"/>
  <c r="G165" i="43"/>
  <c r="G164" i="43"/>
  <c r="G163" i="43"/>
  <c r="G162" i="43"/>
  <c r="G161" i="43"/>
  <c r="H161" i="43" s="1"/>
  <c r="G160" i="43"/>
  <c r="H160" i="43" s="1"/>
  <c r="G159" i="43"/>
  <c r="H159" i="43" s="1"/>
  <c r="G158" i="43"/>
  <c r="H158" i="43" s="1"/>
  <c r="G157" i="43"/>
  <c r="H157" i="43" s="1"/>
  <c r="G156" i="43"/>
  <c r="H156" i="43" s="1"/>
  <c r="G155" i="43"/>
  <c r="H155" i="43" s="1"/>
  <c r="G154" i="43"/>
  <c r="H154" i="43" s="1"/>
  <c r="G153" i="43"/>
  <c r="H153" i="43" s="1"/>
  <c r="G152" i="43"/>
  <c r="H152" i="43" s="1"/>
  <c r="G151" i="43"/>
  <c r="H151" i="43" s="1"/>
  <c r="G150" i="43"/>
  <c r="H150" i="43" s="1"/>
  <c r="G149" i="43"/>
  <c r="H149" i="43" s="1"/>
  <c r="G148" i="43"/>
  <c r="H148" i="43" s="1"/>
  <c r="G147" i="43"/>
  <c r="H147" i="43" s="1"/>
  <c r="G146" i="43"/>
  <c r="H146" i="43" s="1"/>
  <c r="G145" i="43"/>
  <c r="H145" i="43" s="1"/>
  <c r="G144" i="43"/>
  <c r="H144" i="43" s="1"/>
  <c r="G143" i="43"/>
  <c r="H143" i="43" s="1"/>
  <c r="G142" i="43"/>
  <c r="H142" i="43" s="1"/>
  <c r="G141" i="43"/>
  <c r="H141" i="43" s="1"/>
  <c r="G140" i="43"/>
  <c r="H140" i="43" s="1"/>
  <c r="G139" i="43"/>
  <c r="H139" i="43" s="1"/>
  <c r="G138" i="43"/>
  <c r="H138" i="43" s="1"/>
  <c r="G137" i="43"/>
  <c r="H137" i="43" s="1"/>
  <c r="G136" i="43"/>
  <c r="H136" i="43" s="1"/>
  <c r="G135" i="43"/>
  <c r="H135" i="43" s="1"/>
  <c r="G134" i="43"/>
  <c r="H134" i="43" s="1"/>
  <c r="G133" i="43"/>
  <c r="H133" i="43" s="1"/>
  <c r="G132" i="43"/>
  <c r="H132" i="43" s="1"/>
  <c r="G131" i="43"/>
  <c r="H131" i="43" s="1"/>
  <c r="G130" i="43"/>
  <c r="H130" i="43" s="1"/>
  <c r="G129" i="43"/>
  <c r="H129" i="43" s="1"/>
  <c r="G128" i="43"/>
  <c r="H128" i="43" s="1"/>
  <c r="G127" i="43"/>
  <c r="H127" i="43" s="1"/>
  <c r="G126" i="43"/>
  <c r="H126" i="43" s="1"/>
  <c r="G125" i="43"/>
  <c r="H125" i="43" s="1"/>
  <c r="G124" i="43"/>
  <c r="H124" i="43" s="1"/>
  <c r="G123" i="43"/>
  <c r="H123" i="43" s="1"/>
  <c r="G122" i="43"/>
  <c r="H122" i="43" s="1"/>
  <c r="G121" i="43"/>
  <c r="H121" i="43" s="1"/>
  <c r="G120" i="43"/>
  <c r="H120" i="43" s="1"/>
  <c r="G119" i="43"/>
  <c r="H119" i="43" s="1"/>
  <c r="G118" i="43"/>
  <c r="H118" i="43" s="1"/>
  <c r="G117" i="43"/>
  <c r="H117" i="43" s="1"/>
  <c r="G116" i="43"/>
  <c r="H116" i="43" s="1"/>
  <c r="G115" i="43"/>
  <c r="H115" i="43" s="1"/>
  <c r="G114" i="43"/>
  <c r="H114" i="43" s="1"/>
  <c r="G113" i="43"/>
  <c r="H113" i="43" s="1"/>
  <c r="G112" i="43"/>
  <c r="H112" i="43" s="1"/>
  <c r="G111" i="43"/>
  <c r="H111" i="43" s="1"/>
  <c r="G110" i="43"/>
  <c r="H110" i="43" s="1"/>
  <c r="G109" i="43"/>
  <c r="H109" i="43" s="1"/>
  <c r="G108" i="43"/>
  <c r="H108" i="43" s="1"/>
  <c r="G107" i="43"/>
  <c r="H107" i="43" s="1"/>
  <c r="G106" i="43"/>
  <c r="H106" i="43" s="1"/>
  <c r="G105" i="43"/>
  <c r="H105" i="43" s="1"/>
  <c r="G104" i="43"/>
  <c r="H104" i="43" s="1"/>
  <c r="G103" i="43"/>
  <c r="H103" i="43" s="1"/>
  <c r="G102" i="43"/>
  <c r="H102" i="43" s="1"/>
  <c r="G101" i="43"/>
  <c r="H101" i="43" s="1"/>
  <c r="G100" i="43"/>
  <c r="H100" i="43" s="1"/>
  <c r="G99" i="43"/>
  <c r="H99" i="43" s="1"/>
  <c r="G98" i="43"/>
  <c r="H98" i="43" s="1"/>
  <c r="G97" i="43"/>
  <c r="H97" i="43" s="1"/>
  <c r="G96" i="43"/>
  <c r="H96" i="43" s="1"/>
  <c r="G95" i="43"/>
  <c r="H95" i="43" s="1"/>
  <c r="G94" i="43"/>
  <c r="H94" i="43" s="1"/>
  <c r="G93" i="43"/>
  <c r="H93" i="43" s="1"/>
  <c r="G92" i="43"/>
  <c r="H92" i="43" s="1"/>
  <c r="G91" i="43"/>
  <c r="H91" i="43" s="1"/>
  <c r="G90" i="43"/>
  <c r="H90" i="43" s="1"/>
  <c r="G89" i="43"/>
  <c r="H89" i="43" s="1"/>
  <c r="G88" i="43"/>
  <c r="H88" i="43" s="1"/>
  <c r="G87" i="43"/>
  <c r="H87" i="43" s="1"/>
  <c r="G86" i="43"/>
  <c r="H86" i="43" s="1"/>
  <c r="G85" i="43"/>
  <c r="H85" i="43" s="1"/>
  <c r="G84" i="43"/>
  <c r="H84" i="43" s="1"/>
  <c r="G83" i="43"/>
  <c r="H83" i="43" s="1"/>
  <c r="G82" i="43"/>
  <c r="H82" i="43" s="1"/>
  <c r="G81" i="43"/>
  <c r="H81" i="43" s="1"/>
  <c r="G80" i="43"/>
  <c r="H80" i="43" s="1"/>
  <c r="G79" i="43"/>
  <c r="H79" i="43" s="1"/>
  <c r="G78" i="43"/>
  <c r="H78" i="43" s="1"/>
  <c r="G77" i="43"/>
  <c r="H77" i="43" s="1"/>
  <c r="G76" i="43"/>
  <c r="H76" i="43" s="1"/>
  <c r="G75" i="43"/>
  <c r="H75" i="43" s="1"/>
  <c r="G74" i="43"/>
  <c r="H74" i="43" s="1"/>
  <c r="G73" i="43"/>
  <c r="H73" i="43" s="1"/>
  <c r="G72" i="43"/>
  <c r="H72" i="43" s="1"/>
  <c r="G71" i="43"/>
  <c r="H71" i="43" s="1"/>
  <c r="G70" i="43"/>
  <c r="H70" i="43" s="1"/>
  <c r="G69" i="43"/>
  <c r="H69" i="43" s="1"/>
  <c r="G68" i="43"/>
  <c r="H68" i="43" s="1"/>
  <c r="G67" i="43"/>
  <c r="H67" i="43" s="1"/>
  <c r="G66" i="43"/>
  <c r="H66" i="43" s="1"/>
  <c r="G65" i="43"/>
  <c r="H65" i="43" s="1"/>
  <c r="G64" i="43"/>
  <c r="H64" i="43" s="1"/>
  <c r="G63" i="43"/>
  <c r="H63" i="43" s="1"/>
  <c r="G62" i="43"/>
  <c r="H62" i="43" s="1"/>
  <c r="G61" i="43"/>
  <c r="H61" i="43" s="1"/>
  <c r="G60" i="43"/>
  <c r="H60" i="43" s="1"/>
  <c r="G59" i="43"/>
  <c r="H59" i="43" s="1"/>
  <c r="G58" i="43"/>
  <c r="H58" i="43" s="1"/>
  <c r="G57" i="43"/>
  <c r="H57" i="43" s="1"/>
  <c r="G56" i="43"/>
  <c r="H56" i="43" s="1"/>
  <c r="G55" i="43"/>
  <c r="H55" i="43" s="1"/>
  <c r="G54" i="43"/>
  <c r="H54" i="43" s="1"/>
  <c r="G53" i="43"/>
  <c r="H53" i="43" s="1"/>
  <c r="G52" i="43"/>
  <c r="H52" i="43" s="1"/>
  <c r="G51" i="43"/>
  <c r="H51" i="43" s="1"/>
  <c r="G50" i="43"/>
  <c r="H50" i="43" s="1"/>
  <c r="G49" i="43"/>
  <c r="H49" i="43" s="1"/>
  <c r="G48" i="43"/>
  <c r="H48" i="43" s="1"/>
  <c r="G47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G34" i="43"/>
  <c r="G33" i="43"/>
  <c r="G32" i="43"/>
  <c r="G31" i="43"/>
  <c r="G30" i="43"/>
  <c r="G29" i="43"/>
  <c r="G28" i="43"/>
  <c r="G27" i="43"/>
  <c r="G26" i="43"/>
  <c r="G25" i="43"/>
  <c r="G24" i="43"/>
  <c r="G23" i="43"/>
  <c r="G22" i="43"/>
  <c r="G21" i="43"/>
  <c r="G20" i="43"/>
  <c r="G19" i="43"/>
  <c r="G18" i="43"/>
  <c r="G17" i="43"/>
  <c r="G16" i="43"/>
  <c r="G15" i="43"/>
  <c r="G14" i="43"/>
  <c r="G13" i="43"/>
  <c r="G12" i="43"/>
  <c r="G11" i="43"/>
  <c r="G10" i="43"/>
  <c r="G9" i="43"/>
  <c r="G8" i="43"/>
  <c r="G7" i="43"/>
  <c r="G6" i="43"/>
  <c r="G5" i="43"/>
  <c r="G4" i="43"/>
  <c r="G3" i="43"/>
  <c r="G159" i="42"/>
  <c r="G158" i="42"/>
  <c r="G157" i="42"/>
  <c r="G156" i="42"/>
  <c r="G155" i="42"/>
  <c r="G154" i="42"/>
  <c r="G153" i="42"/>
  <c r="G152" i="42"/>
  <c r="G151" i="42"/>
  <c r="G150" i="42"/>
  <c r="G149" i="42"/>
  <c r="G148" i="42"/>
  <c r="G147" i="42"/>
  <c r="G146" i="42"/>
  <c r="G145" i="42"/>
  <c r="G144" i="42"/>
  <c r="G143" i="42"/>
  <c r="G142" i="42"/>
  <c r="G141" i="42"/>
  <c r="G140" i="42"/>
  <c r="G139" i="42"/>
  <c r="G138" i="42"/>
  <c r="G137" i="42"/>
  <c r="G136" i="42"/>
  <c r="G135" i="42"/>
  <c r="G134" i="42"/>
  <c r="G133" i="42"/>
  <c r="G132" i="42"/>
  <c r="G131" i="42"/>
  <c r="G130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5" i="42"/>
  <c r="G114" i="42"/>
  <c r="G113" i="42"/>
  <c r="G112" i="42"/>
  <c r="G111" i="42"/>
  <c r="G110" i="42"/>
  <c r="G109" i="42"/>
  <c r="G108" i="42"/>
  <c r="G107" i="42"/>
  <c r="G106" i="42"/>
  <c r="G105" i="42"/>
  <c r="G104" i="42"/>
  <c r="G103" i="42"/>
  <c r="G102" i="42"/>
  <c r="H102" i="42" s="1"/>
  <c r="G101" i="42"/>
  <c r="H101" i="42" s="1"/>
  <c r="G100" i="42"/>
  <c r="H100" i="42" s="1"/>
  <c r="G99" i="42"/>
  <c r="H99" i="42" s="1"/>
  <c r="G98" i="42"/>
  <c r="H98" i="42" s="1"/>
  <c r="G97" i="42"/>
  <c r="H97" i="42" s="1"/>
  <c r="G96" i="42"/>
  <c r="H96" i="42" s="1"/>
  <c r="G95" i="42"/>
  <c r="H95" i="42" s="1"/>
  <c r="G94" i="42"/>
  <c r="H94" i="42" s="1"/>
  <c r="G93" i="42"/>
  <c r="H93" i="42" s="1"/>
  <c r="G92" i="42"/>
  <c r="H92" i="42" s="1"/>
  <c r="G91" i="42"/>
  <c r="H91" i="42" s="1"/>
  <c r="G90" i="42"/>
  <c r="H90" i="42" s="1"/>
  <c r="G89" i="42"/>
  <c r="H89" i="42" s="1"/>
  <c r="G88" i="42"/>
  <c r="H88" i="42" s="1"/>
  <c r="G87" i="42"/>
  <c r="H87" i="42" s="1"/>
  <c r="G86" i="42"/>
  <c r="H86" i="42" s="1"/>
  <c r="G85" i="42"/>
  <c r="H85" i="42" s="1"/>
  <c r="G84" i="42"/>
  <c r="H84" i="42" s="1"/>
  <c r="G83" i="42"/>
  <c r="H83" i="42" s="1"/>
  <c r="G82" i="42"/>
  <c r="H82" i="42" s="1"/>
  <c r="G81" i="42"/>
  <c r="H81" i="42" s="1"/>
  <c r="G80" i="42"/>
  <c r="H80" i="42" s="1"/>
  <c r="G79" i="42"/>
  <c r="H79" i="42" s="1"/>
  <c r="G78" i="42"/>
  <c r="H78" i="42" s="1"/>
  <c r="G77" i="42"/>
  <c r="H77" i="42" s="1"/>
  <c r="G76" i="42"/>
  <c r="H76" i="42" s="1"/>
  <c r="G75" i="42"/>
  <c r="H75" i="42" s="1"/>
  <c r="G74" i="42"/>
  <c r="H74" i="42" s="1"/>
  <c r="G73" i="42"/>
  <c r="H73" i="42" s="1"/>
  <c r="G72" i="42"/>
  <c r="H72" i="42" s="1"/>
  <c r="G71" i="42"/>
  <c r="H71" i="42" s="1"/>
  <c r="G70" i="42"/>
  <c r="H70" i="42" s="1"/>
  <c r="G69" i="42"/>
  <c r="H69" i="42" s="1"/>
  <c r="G68" i="42"/>
  <c r="H68" i="42" s="1"/>
  <c r="G67" i="42"/>
  <c r="H67" i="42" s="1"/>
  <c r="G66" i="42"/>
  <c r="H66" i="42" s="1"/>
  <c r="G65" i="42"/>
  <c r="H65" i="42" s="1"/>
  <c r="G64" i="42"/>
  <c r="H64" i="42" s="1"/>
  <c r="G63" i="42"/>
  <c r="H63" i="42" s="1"/>
  <c r="G62" i="42"/>
  <c r="H62" i="42" s="1"/>
  <c r="G61" i="42"/>
  <c r="H61" i="42" s="1"/>
  <c r="G60" i="42"/>
  <c r="H60" i="42" s="1"/>
  <c r="G59" i="42"/>
  <c r="H59" i="42" s="1"/>
  <c r="G58" i="42"/>
  <c r="H58" i="42" s="1"/>
  <c r="G57" i="42"/>
  <c r="H57" i="42" s="1"/>
  <c r="G56" i="42"/>
  <c r="H56" i="42" s="1"/>
  <c r="G55" i="42"/>
  <c r="H55" i="42" s="1"/>
  <c r="G54" i="42"/>
  <c r="H54" i="42" s="1"/>
  <c r="G53" i="42"/>
  <c r="H53" i="42" s="1"/>
  <c r="G52" i="42"/>
  <c r="H52" i="42" s="1"/>
  <c r="G51" i="42"/>
  <c r="H51" i="42" s="1"/>
  <c r="G50" i="42"/>
  <c r="H50" i="42" s="1"/>
  <c r="G49" i="42"/>
  <c r="H49" i="42" s="1"/>
  <c r="G48" i="42"/>
  <c r="H48" i="42" s="1"/>
  <c r="G47" i="42"/>
  <c r="H47" i="42" s="1"/>
  <c r="G46" i="42"/>
  <c r="H46" i="42" s="1"/>
  <c r="G45" i="42"/>
  <c r="H45" i="42" s="1"/>
  <c r="G44" i="42"/>
  <c r="H44" i="42" s="1"/>
  <c r="G43" i="42"/>
  <c r="H43" i="42" s="1"/>
  <c r="G42" i="42"/>
  <c r="H42" i="42" s="1"/>
  <c r="G41" i="42"/>
  <c r="H41" i="42" s="1"/>
  <c r="G40" i="42"/>
  <c r="H40" i="42" s="1"/>
  <c r="G39" i="42"/>
  <c r="H39" i="42" s="1"/>
  <c r="G38" i="42"/>
  <c r="H38" i="42" s="1"/>
  <c r="G37" i="42"/>
  <c r="H37" i="42" s="1"/>
  <c r="G36" i="42"/>
  <c r="H36" i="42" s="1"/>
  <c r="G35" i="42"/>
  <c r="H35" i="42" s="1"/>
  <c r="G34" i="42"/>
  <c r="H34" i="42" s="1"/>
  <c r="G33" i="42"/>
  <c r="H33" i="42" s="1"/>
  <c r="G32" i="42"/>
  <c r="H32" i="42" s="1"/>
  <c r="G31" i="42"/>
  <c r="H31" i="42" s="1"/>
  <c r="G30" i="42"/>
  <c r="H30" i="42" s="1"/>
  <c r="G29" i="42"/>
  <c r="H29" i="42" s="1"/>
  <c r="G28" i="42"/>
  <c r="H28" i="42" s="1"/>
  <c r="G27" i="42"/>
  <c r="H27" i="42" s="1"/>
  <c r="G26" i="42"/>
  <c r="H26" i="42" s="1"/>
  <c r="G25" i="42"/>
  <c r="H25" i="42" s="1"/>
  <c r="G24" i="42"/>
  <c r="H24" i="42" s="1"/>
  <c r="G23" i="42"/>
  <c r="H23" i="42" s="1"/>
  <c r="G22" i="42"/>
  <c r="H22" i="42" s="1"/>
  <c r="G21" i="42"/>
  <c r="H21" i="42" s="1"/>
  <c r="G20" i="42"/>
  <c r="H20" i="42" s="1"/>
  <c r="G19" i="42"/>
  <c r="H19" i="42" s="1"/>
  <c r="G18" i="42"/>
  <c r="H18" i="42" s="1"/>
  <c r="G17" i="42"/>
  <c r="H17" i="42" s="1"/>
  <c r="G16" i="42"/>
  <c r="H16" i="42" s="1"/>
  <c r="G15" i="42"/>
  <c r="H15" i="42" s="1"/>
  <c r="G14" i="42"/>
  <c r="H14" i="42" s="1"/>
  <c r="G13" i="42"/>
  <c r="H13" i="42" s="1"/>
  <c r="G12" i="42"/>
  <c r="H12" i="42" s="1"/>
  <c r="G11" i="42"/>
  <c r="H11" i="42" s="1"/>
  <c r="G10" i="42"/>
  <c r="H10" i="42" s="1"/>
  <c r="G9" i="42"/>
  <c r="H9" i="42" s="1"/>
  <c r="G8" i="42"/>
  <c r="H8" i="42" s="1"/>
  <c r="G7" i="42"/>
  <c r="H7" i="42" s="1"/>
  <c r="G6" i="42"/>
  <c r="H6" i="42" s="1"/>
  <c r="G5" i="42"/>
  <c r="H5" i="42" s="1"/>
  <c r="G4" i="42"/>
  <c r="H4" i="42" s="1"/>
  <c r="G3" i="42"/>
  <c r="H3" i="42" s="1"/>
  <c r="G4" i="39"/>
  <c r="G3" i="39"/>
  <c r="H3" i="39" s="1"/>
  <c r="G71" i="39"/>
  <c r="H71" i="39" s="1"/>
  <c r="G70" i="39"/>
  <c r="H70" i="39" s="1"/>
  <c r="G69" i="39"/>
  <c r="H69" i="39" s="1"/>
  <c r="G68" i="39"/>
  <c r="H68" i="39" s="1"/>
  <c r="G67" i="39"/>
  <c r="H67" i="39" s="1"/>
  <c r="G66" i="39"/>
  <c r="H66" i="39" s="1"/>
  <c r="G65" i="39"/>
  <c r="H65" i="39" s="1"/>
  <c r="G64" i="39"/>
  <c r="H64" i="39" s="1"/>
  <c r="G63" i="39"/>
  <c r="H63" i="39" s="1"/>
  <c r="G62" i="39"/>
  <c r="H62" i="39" s="1"/>
  <c r="G61" i="39"/>
  <c r="H61" i="39" s="1"/>
  <c r="G60" i="39"/>
  <c r="H60" i="39" s="1"/>
  <c r="G59" i="39"/>
  <c r="H59" i="39" s="1"/>
  <c r="G58" i="39"/>
  <c r="H58" i="39" s="1"/>
  <c r="G57" i="39"/>
  <c r="H57" i="39" s="1"/>
  <c r="G56" i="39"/>
  <c r="H56" i="39" s="1"/>
  <c r="G55" i="39"/>
  <c r="H55" i="39" s="1"/>
  <c r="G54" i="39"/>
  <c r="H54" i="39" s="1"/>
  <c r="G53" i="39"/>
  <c r="H53" i="39" s="1"/>
  <c r="G52" i="39"/>
  <c r="H52" i="39" s="1"/>
  <c r="G51" i="39"/>
  <c r="H51" i="39" s="1"/>
  <c r="G50" i="39"/>
  <c r="H50" i="39" s="1"/>
  <c r="G49" i="39"/>
  <c r="H49" i="39" s="1"/>
  <c r="G48" i="39"/>
  <c r="H48" i="39" s="1"/>
  <c r="G47" i="39"/>
  <c r="H47" i="39" s="1"/>
  <c r="G46" i="39"/>
  <c r="H46" i="39" s="1"/>
  <c r="G45" i="39"/>
  <c r="H45" i="39" s="1"/>
  <c r="G44" i="39"/>
  <c r="H44" i="39" s="1"/>
  <c r="G43" i="39"/>
  <c r="H43" i="39" s="1"/>
  <c r="G42" i="39"/>
  <c r="H42" i="39" s="1"/>
  <c r="G41" i="39"/>
  <c r="H41" i="39" s="1"/>
  <c r="G40" i="39"/>
  <c r="H40" i="39" s="1"/>
  <c r="G39" i="39"/>
  <c r="H39" i="39" s="1"/>
  <c r="G38" i="39"/>
  <c r="H38" i="39" s="1"/>
  <c r="G37" i="39"/>
  <c r="H37" i="39" s="1"/>
  <c r="G36" i="39"/>
  <c r="H36" i="39" s="1"/>
  <c r="G35" i="39"/>
  <c r="H35" i="39" s="1"/>
  <c r="G34" i="39"/>
  <c r="H34" i="39" s="1"/>
  <c r="G33" i="39"/>
  <c r="H33" i="39" s="1"/>
  <c r="G32" i="39"/>
  <c r="H32" i="39" s="1"/>
  <c r="G31" i="39"/>
  <c r="H31" i="39" s="1"/>
  <c r="G30" i="39"/>
  <c r="H30" i="39" s="1"/>
  <c r="G29" i="39"/>
  <c r="H29" i="39" s="1"/>
  <c r="G28" i="39"/>
  <c r="H28" i="39" s="1"/>
  <c r="G27" i="39"/>
  <c r="H27" i="39" s="1"/>
  <c r="G26" i="39"/>
  <c r="H26" i="39" s="1"/>
  <c r="G25" i="39"/>
  <c r="H25" i="39" s="1"/>
  <c r="G24" i="39"/>
  <c r="H24" i="39" s="1"/>
  <c r="G23" i="39"/>
  <c r="H23" i="39" s="1"/>
  <c r="G22" i="39"/>
  <c r="H22" i="39" s="1"/>
  <c r="G21" i="39"/>
  <c r="H21" i="39" s="1"/>
  <c r="G20" i="39"/>
  <c r="H20" i="39" s="1"/>
  <c r="G19" i="39"/>
  <c r="H19" i="39" s="1"/>
  <c r="G18" i="39"/>
  <c r="H18" i="39" s="1"/>
  <c r="G17" i="39"/>
  <c r="H17" i="39" s="1"/>
  <c r="G16" i="39"/>
  <c r="H16" i="39" s="1"/>
  <c r="G15" i="39"/>
  <c r="H15" i="39" s="1"/>
  <c r="G14" i="39"/>
  <c r="H14" i="39" s="1"/>
  <c r="G13" i="39"/>
  <c r="H13" i="39" s="1"/>
  <c r="G12" i="39"/>
  <c r="H12" i="39" s="1"/>
  <c r="G11" i="39"/>
  <c r="H11" i="39" s="1"/>
  <c r="G10" i="39"/>
  <c r="H10" i="39" s="1"/>
  <c r="G9" i="39"/>
  <c r="H9" i="39" s="1"/>
  <c r="G8" i="39"/>
  <c r="H8" i="39" s="1"/>
  <c r="G7" i="39"/>
  <c r="H7" i="39" s="1"/>
  <c r="G6" i="39"/>
  <c r="H6" i="39" s="1"/>
  <c r="G524" i="39"/>
  <c r="H524" i="39" s="1"/>
  <c r="G523" i="39"/>
  <c r="H523" i="39" s="1"/>
  <c r="G522" i="39"/>
  <c r="H522" i="39" s="1"/>
  <c r="G521" i="39"/>
  <c r="H521" i="39" s="1"/>
  <c r="G520" i="39"/>
  <c r="H520" i="39" s="1"/>
  <c r="G519" i="39"/>
  <c r="H519" i="39" s="1"/>
  <c r="G518" i="39"/>
  <c r="H518" i="39" s="1"/>
  <c r="G517" i="39"/>
  <c r="H517" i="39" s="1"/>
  <c r="G516" i="39"/>
  <c r="H516" i="39" s="1"/>
  <c r="G515" i="39"/>
  <c r="H515" i="39" s="1"/>
  <c r="G514" i="39"/>
  <c r="H514" i="39" s="1"/>
  <c r="G513" i="39"/>
  <c r="H513" i="39" s="1"/>
  <c r="G512" i="39"/>
  <c r="H512" i="39" s="1"/>
  <c r="G511" i="39"/>
  <c r="H511" i="39" s="1"/>
  <c r="G510" i="39"/>
  <c r="G509" i="39"/>
  <c r="G508" i="39"/>
  <c r="G507" i="39"/>
  <c r="G506" i="39"/>
  <c r="G505" i="39"/>
  <c r="G504" i="39"/>
  <c r="G503" i="39"/>
  <c r="G502" i="39"/>
  <c r="G501" i="39"/>
  <c r="G500" i="39"/>
  <c r="G499" i="39"/>
  <c r="G498" i="39"/>
  <c r="G497" i="39"/>
  <c r="G496" i="39"/>
  <c r="G495" i="39"/>
  <c r="G494" i="39"/>
  <c r="G493" i="39"/>
  <c r="G492" i="39"/>
  <c r="G491" i="39"/>
  <c r="G490" i="39"/>
  <c r="G489" i="39"/>
  <c r="G488" i="39"/>
  <c r="G487" i="39"/>
  <c r="G486" i="39"/>
  <c r="G485" i="39"/>
  <c r="G484" i="39"/>
  <c r="G483" i="39"/>
  <c r="G482" i="39"/>
  <c r="G481" i="39"/>
  <c r="G480" i="39"/>
  <c r="G479" i="39"/>
  <c r="G478" i="39"/>
  <c r="G477" i="39"/>
  <c r="G476" i="39"/>
  <c r="G475" i="39"/>
  <c r="G474" i="39"/>
  <c r="G473" i="39"/>
  <c r="G472" i="39"/>
  <c r="G471" i="39"/>
  <c r="G470" i="39"/>
  <c r="G469" i="39"/>
  <c r="G468" i="39"/>
  <c r="G467" i="39"/>
  <c r="G466" i="39"/>
  <c r="G465" i="39"/>
  <c r="G464" i="39"/>
  <c r="G463" i="39"/>
  <c r="H463" i="39" s="1"/>
  <c r="G462" i="39"/>
  <c r="G461" i="39"/>
  <c r="H461" i="39" s="1"/>
  <c r="G460" i="39"/>
  <c r="G459" i="39"/>
  <c r="H459" i="39" s="1"/>
  <c r="G458" i="39"/>
  <c r="G457" i="39"/>
  <c r="H457" i="39" s="1"/>
  <c r="G456" i="39"/>
  <c r="G455" i="39"/>
  <c r="H455" i="39" s="1"/>
  <c r="G454" i="39"/>
  <c r="G453" i="39"/>
  <c r="H453" i="39" s="1"/>
  <c r="G452" i="39"/>
  <c r="G451" i="39"/>
  <c r="H451" i="39" s="1"/>
  <c r="G450" i="39"/>
  <c r="G449" i="39"/>
  <c r="H449" i="39" s="1"/>
  <c r="G448" i="39"/>
  <c r="G447" i="39"/>
  <c r="H447" i="39" s="1"/>
  <c r="G446" i="39"/>
  <c r="G445" i="39"/>
  <c r="H445" i="39" s="1"/>
  <c r="G444" i="39"/>
  <c r="G443" i="39"/>
  <c r="H443" i="39" s="1"/>
  <c r="G442" i="39"/>
  <c r="G441" i="39"/>
  <c r="H441" i="39" s="1"/>
  <c r="G440" i="39"/>
  <c r="G439" i="39"/>
  <c r="H439" i="39" s="1"/>
  <c r="G438" i="39"/>
  <c r="G437" i="39"/>
  <c r="H437" i="39" s="1"/>
  <c r="G436" i="39"/>
  <c r="G435" i="39"/>
  <c r="H435" i="39" s="1"/>
  <c r="G434" i="39"/>
  <c r="G433" i="39"/>
  <c r="H433" i="39" s="1"/>
  <c r="G432" i="39"/>
  <c r="G431" i="39"/>
  <c r="H431" i="39" s="1"/>
  <c r="G430" i="39"/>
  <c r="G429" i="39"/>
  <c r="H429" i="39" s="1"/>
  <c r="G428" i="39"/>
  <c r="G427" i="39"/>
  <c r="H427" i="39" s="1"/>
  <c r="G426" i="39"/>
  <c r="G425" i="39"/>
  <c r="H425" i="39" s="1"/>
  <c r="G424" i="39"/>
  <c r="G423" i="39"/>
  <c r="H423" i="39" s="1"/>
  <c r="G422" i="39"/>
  <c r="G421" i="39"/>
  <c r="H421" i="39" s="1"/>
  <c r="G420" i="39"/>
  <c r="G419" i="39"/>
  <c r="H419" i="39" s="1"/>
  <c r="G418" i="39"/>
  <c r="G417" i="39"/>
  <c r="H417" i="39" s="1"/>
  <c r="G416" i="39"/>
  <c r="G415" i="39"/>
  <c r="H415" i="39" s="1"/>
  <c r="G414" i="39"/>
  <c r="H414" i="39" s="1"/>
  <c r="G413" i="39"/>
  <c r="H413" i="39" s="1"/>
  <c r="G412" i="39"/>
  <c r="H412" i="39" s="1"/>
  <c r="G411" i="39"/>
  <c r="H411" i="39" s="1"/>
  <c r="G410" i="39"/>
  <c r="H410" i="39" s="1"/>
  <c r="G409" i="39"/>
  <c r="H409" i="39" s="1"/>
  <c r="G408" i="39"/>
  <c r="H408" i="39" s="1"/>
  <c r="G407" i="39"/>
  <c r="H407" i="39" s="1"/>
  <c r="G406" i="39"/>
  <c r="H406" i="39" s="1"/>
  <c r="G405" i="39"/>
  <c r="H405" i="39" s="1"/>
  <c r="G404" i="39"/>
  <c r="H404" i="39" s="1"/>
  <c r="G403" i="39"/>
  <c r="H403" i="39" s="1"/>
  <c r="G402" i="39"/>
  <c r="H402" i="39" s="1"/>
  <c r="G401" i="39"/>
  <c r="H401" i="39" s="1"/>
  <c r="H400" i="39"/>
  <c r="G400" i="39"/>
  <c r="H399" i="39"/>
  <c r="G399" i="39"/>
  <c r="H398" i="39"/>
  <c r="G398" i="39"/>
  <c r="H397" i="39"/>
  <c r="G397" i="39"/>
  <c r="H396" i="39"/>
  <c r="G396" i="39"/>
  <c r="H395" i="39"/>
  <c r="G395" i="39"/>
  <c r="H394" i="39"/>
  <c r="G394" i="39"/>
  <c r="H393" i="39"/>
  <c r="G393" i="39"/>
  <c r="H392" i="39"/>
  <c r="G392" i="39"/>
  <c r="H391" i="39"/>
  <c r="G391" i="39"/>
  <c r="H390" i="39"/>
  <c r="G390" i="39"/>
  <c r="H389" i="39"/>
  <c r="G389" i="39"/>
  <c r="H388" i="39"/>
  <c r="G388" i="39"/>
  <c r="G387" i="39"/>
  <c r="H386" i="39"/>
  <c r="G386" i="39"/>
  <c r="G385" i="39"/>
  <c r="H384" i="39"/>
  <c r="G384" i="39"/>
  <c r="G383" i="39"/>
  <c r="H382" i="39"/>
  <c r="G382" i="39"/>
  <c r="G381" i="39"/>
  <c r="H380" i="39"/>
  <c r="G380" i="39"/>
  <c r="G379" i="39"/>
  <c r="H378" i="39"/>
  <c r="G378" i="39"/>
  <c r="G377" i="39"/>
  <c r="H376" i="39"/>
  <c r="G376" i="39"/>
  <c r="G375" i="39"/>
  <c r="G374" i="39"/>
  <c r="H374" i="39" s="1"/>
  <c r="G373" i="39"/>
  <c r="H372" i="39"/>
  <c r="G372" i="39"/>
  <c r="G371" i="39"/>
  <c r="H370" i="39"/>
  <c r="G370" i="39"/>
  <c r="G369" i="39"/>
  <c r="H368" i="39"/>
  <c r="G368" i="39"/>
  <c r="G367" i="39"/>
  <c r="G366" i="39"/>
  <c r="H366" i="39" s="1"/>
  <c r="G365" i="39"/>
  <c r="H364" i="39"/>
  <c r="G364" i="39"/>
  <c r="G363" i="39"/>
  <c r="H362" i="39"/>
  <c r="G362" i="39"/>
  <c r="G361" i="39"/>
  <c r="H360" i="39"/>
  <c r="G360" i="39"/>
  <c r="G359" i="39"/>
  <c r="G358" i="39"/>
  <c r="H358" i="39" s="1"/>
  <c r="H357" i="39"/>
  <c r="G357" i="39"/>
  <c r="G356" i="39"/>
  <c r="H356" i="39" s="1"/>
  <c r="H355" i="39"/>
  <c r="G355" i="39"/>
  <c r="G354" i="39"/>
  <c r="H354" i="39" s="1"/>
  <c r="H353" i="39"/>
  <c r="G353" i="39"/>
  <c r="G352" i="39"/>
  <c r="H352" i="39" s="1"/>
  <c r="H351" i="39"/>
  <c r="G351" i="39"/>
  <c r="G350" i="39"/>
  <c r="H350" i="39" s="1"/>
  <c r="G349" i="39"/>
  <c r="H349" i="39" s="1"/>
  <c r="G348" i="39"/>
  <c r="H348" i="39" s="1"/>
  <c r="G347" i="39"/>
  <c r="H347" i="39" s="1"/>
  <c r="G346" i="39"/>
  <c r="H346" i="39" s="1"/>
  <c r="G345" i="39"/>
  <c r="H345" i="39" s="1"/>
  <c r="G344" i="39"/>
  <c r="H344" i="39" s="1"/>
  <c r="G343" i="39"/>
  <c r="H343" i="39" s="1"/>
  <c r="G342" i="39"/>
  <c r="H342" i="39" s="1"/>
  <c r="G341" i="39"/>
  <c r="H341" i="39" s="1"/>
  <c r="G340" i="39"/>
  <c r="H340" i="39" s="1"/>
  <c r="G339" i="39"/>
  <c r="H339" i="39" s="1"/>
  <c r="G338" i="39"/>
  <c r="H338" i="39" s="1"/>
  <c r="G337" i="39"/>
  <c r="H337" i="39" s="1"/>
  <c r="G336" i="39"/>
  <c r="H336" i="39" s="1"/>
  <c r="G335" i="39"/>
  <c r="H335" i="39" s="1"/>
  <c r="G334" i="39"/>
  <c r="H334" i="39" s="1"/>
  <c r="G333" i="39"/>
  <c r="H333" i="39" s="1"/>
  <c r="G332" i="39"/>
  <c r="H332" i="39" s="1"/>
  <c r="G331" i="39"/>
  <c r="H331" i="39" s="1"/>
  <c r="G330" i="39"/>
  <c r="H330" i="39" s="1"/>
  <c r="G329" i="39"/>
  <c r="H329" i="39" s="1"/>
  <c r="G328" i="39"/>
  <c r="H328" i="39" s="1"/>
  <c r="G327" i="39"/>
  <c r="H327" i="39" s="1"/>
  <c r="G326" i="39"/>
  <c r="H326" i="39" s="1"/>
  <c r="G325" i="39"/>
  <c r="H325" i="39" s="1"/>
  <c r="G324" i="39"/>
  <c r="H324" i="39" s="1"/>
  <c r="G323" i="39"/>
  <c r="H323" i="39" s="1"/>
  <c r="G322" i="39"/>
  <c r="H322" i="39" s="1"/>
  <c r="G321" i="39"/>
  <c r="H321" i="39" s="1"/>
  <c r="G320" i="39"/>
  <c r="H320" i="39" s="1"/>
  <c r="G319" i="39"/>
  <c r="H319" i="39" s="1"/>
  <c r="G318" i="39"/>
  <c r="H318" i="39" s="1"/>
  <c r="G317" i="39"/>
  <c r="H317" i="39" s="1"/>
  <c r="G316" i="39"/>
  <c r="H316" i="39" s="1"/>
  <c r="G315" i="39"/>
  <c r="H315" i="39" s="1"/>
  <c r="G314" i="39"/>
  <c r="H314" i="39" s="1"/>
  <c r="G313" i="39"/>
  <c r="H313" i="39" s="1"/>
  <c r="G312" i="39"/>
  <c r="H312" i="39" s="1"/>
  <c r="G311" i="39"/>
  <c r="H311" i="39" s="1"/>
  <c r="G310" i="39"/>
  <c r="H310" i="39" s="1"/>
  <c r="G309" i="39"/>
  <c r="H309" i="39" s="1"/>
  <c r="G308" i="39"/>
  <c r="H308" i="39" s="1"/>
  <c r="G307" i="39"/>
  <c r="H307" i="39" s="1"/>
  <c r="G306" i="39"/>
  <c r="H306" i="39" s="1"/>
  <c r="G305" i="39"/>
  <c r="H305" i="39" s="1"/>
  <c r="G304" i="39"/>
  <c r="H304" i="39" s="1"/>
  <c r="G303" i="39"/>
  <c r="H303" i="39" s="1"/>
  <c r="G302" i="39"/>
  <c r="H302" i="39" s="1"/>
  <c r="G301" i="39"/>
  <c r="H301" i="39" s="1"/>
  <c r="G300" i="39"/>
  <c r="H300" i="39" s="1"/>
  <c r="G299" i="39"/>
  <c r="H299" i="39" s="1"/>
  <c r="G298" i="39"/>
  <c r="H298" i="39" s="1"/>
  <c r="G297" i="39"/>
  <c r="H297" i="39" s="1"/>
  <c r="G296" i="39"/>
  <c r="H296" i="39" s="1"/>
  <c r="G295" i="39"/>
  <c r="H295" i="39" s="1"/>
  <c r="G294" i="39"/>
  <c r="H294" i="39" s="1"/>
  <c r="G293" i="39"/>
  <c r="H293" i="39" s="1"/>
  <c r="G292" i="39"/>
  <c r="H292" i="39" s="1"/>
  <c r="G291" i="39"/>
  <c r="H291" i="39" s="1"/>
  <c r="G290" i="39"/>
  <c r="H290" i="39" s="1"/>
  <c r="G289" i="39"/>
  <c r="H289" i="39" s="1"/>
  <c r="G288" i="39"/>
  <c r="H288" i="39" s="1"/>
  <c r="G287" i="39"/>
  <c r="H287" i="39" s="1"/>
  <c r="G286" i="39"/>
  <c r="H286" i="39" s="1"/>
  <c r="G285" i="39"/>
  <c r="H285" i="39" s="1"/>
  <c r="G284" i="39"/>
  <c r="H284" i="39" s="1"/>
  <c r="G283" i="39"/>
  <c r="H283" i="39" s="1"/>
  <c r="G282" i="39"/>
  <c r="H282" i="39" s="1"/>
  <c r="G281" i="39"/>
  <c r="H281" i="39" s="1"/>
  <c r="G280" i="39"/>
  <c r="H280" i="39" s="1"/>
  <c r="G279" i="39"/>
  <c r="H279" i="39" s="1"/>
  <c r="G278" i="39"/>
  <c r="H278" i="39" s="1"/>
  <c r="G277" i="39"/>
  <c r="H277" i="39" s="1"/>
  <c r="G276" i="39"/>
  <c r="H276" i="39" s="1"/>
  <c r="G275" i="39"/>
  <c r="H275" i="39" s="1"/>
  <c r="G274" i="39"/>
  <c r="H274" i="39" s="1"/>
  <c r="G273" i="39"/>
  <c r="H273" i="39" s="1"/>
  <c r="G272" i="39"/>
  <c r="H272" i="39" s="1"/>
  <c r="G271" i="39"/>
  <c r="H271" i="39" s="1"/>
  <c r="G270" i="39"/>
  <c r="H270" i="39" s="1"/>
  <c r="G269" i="39"/>
  <c r="H269" i="39" s="1"/>
  <c r="G268" i="39"/>
  <c r="H268" i="39" s="1"/>
  <c r="G267" i="39"/>
  <c r="H267" i="39" s="1"/>
  <c r="G266" i="39"/>
  <c r="H266" i="39" s="1"/>
  <c r="G265" i="39"/>
  <c r="H265" i="39" s="1"/>
  <c r="G264" i="39"/>
  <c r="H264" i="39" s="1"/>
  <c r="G263" i="39"/>
  <c r="H263" i="39" s="1"/>
  <c r="G262" i="39"/>
  <c r="H262" i="39" s="1"/>
  <c r="G261" i="39"/>
  <c r="H261" i="39" s="1"/>
  <c r="G260" i="39"/>
  <c r="H260" i="39" s="1"/>
  <c r="G259" i="39"/>
  <c r="H259" i="39" s="1"/>
  <c r="G258" i="39"/>
  <c r="H258" i="39" s="1"/>
  <c r="G257" i="39"/>
  <c r="H257" i="39" s="1"/>
  <c r="G256" i="39"/>
  <c r="H256" i="39" s="1"/>
  <c r="G255" i="39"/>
  <c r="H255" i="39" s="1"/>
  <c r="G254" i="39"/>
  <c r="H254" i="39" s="1"/>
  <c r="G253" i="39"/>
  <c r="H253" i="39" s="1"/>
  <c r="G252" i="39"/>
  <c r="H252" i="39" s="1"/>
  <c r="G251" i="39"/>
  <c r="H251" i="39" s="1"/>
  <c r="G250" i="39"/>
  <c r="H250" i="39" s="1"/>
  <c r="G249" i="39"/>
  <c r="H249" i="39" s="1"/>
  <c r="G248" i="39"/>
  <c r="H248" i="39" s="1"/>
  <c r="G247" i="39"/>
  <c r="H247" i="39" s="1"/>
  <c r="G246" i="39"/>
  <c r="H246" i="39" s="1"/>
  <c r="G245" i="39"/>
  <c r="H245" i="39" s="1"/>
  <c r="G244" i="39"/>
  <c r="H244" i="39" s="1"/>
  <c r="G243" i="39"/>
  <c r="H243" i="39" s="1"/>
  <c r="G242" i="39"/>
  <c r="H242" i="39" s="1"/>
  <c r="G241" i="39"/>
  <c r="H241" i="39" s="1"/>
  <c r="G240" i="39"/>
  <c r="H240" i="39" s="1"/>
  <c r="G239" i="39"/>
  <c r="H239" i="39" s="1"/>
  <c r="G238" i="39"/>
  <c r="H238" i="39" s="1"/>
  <c r="G237" i="39"/>
  <c r="H237" i="39" s="1"/>
  <c r="G236" i="39"/>
  <c r="H236" i="39" s="1"/>
  <c r="G235" i="39"/>
  <c r="H235" i="39" s="1"/>
  <c r="G234" i="39"/>
  <c r="H234" i="39" s="1"/>
  <c r="I233" i="39"/>
  <c r="J233" i="39" s="1"/>
  <c r="G233" i="39"/>
  <c r="H233" i="39" s="1"/>
  <c r="G232" i="39"/>
  <c r="H232" i="39" s="1"/>
  <c r="I231" i="39"/>
  <c r="J231" i="39" s="1"/>
  <c r="G231" i="39"/>
  <c r="H231" i="39" s="1"/>
  <c r="G230" i="39"/>
  <c r="H230" i="39" s="1"/>
  <c r="I229" i="39"/>
  <c r="J229" i="39" s="1"/>
  <c r="G229" i="39"/>
  <c r="H229" i="39" s="1"/>
  <c r="G228" i="39"/>
  <c r="H228" i="39" s="1"/>
  <c r="I227" i="39"/>
  <c r="J227" i="39" s="1"/>
  <c r="G227" i="39"/>
  <c r="H227" i="39" s="1"/>
  <c r="G226" i="39"/>
  <c r="H226" i="39" s="1"/>
  <c r="I225" i="39"/>
  <c r="J225" i="39" s="1"/>
  <c r="G225" i="39"/>
  <c r="H225" i="39" s="1"/>
  <c r="G224" i="39"/>
  <c r="H224" i="39" s="1"/>
  <c r="I223" i="39"/>
  <c r="J223" i="39" s="1"/>
  <c r="G223" i="39"/>
  <c r="H223" i="39" s="1"/>
  <c r="G222" i="39"/>
  <c r="H222" i="39" s="1"/>
  <c r="I221" i="39"/>
  <c r="J221" i="39" s="1"/>
  <c r="G221" i="39"/>
  <c r="H221" i="39" s="1"/>
  <c r="G220" i="39"/>
  <c r="H220" i="39" s="1"/>
  <c r="I219" i="39"/>
  <c r="J219" i="39" s="1"/>
  <c r="G219" i="39"/>
  <c r="H219" i="39" s="1"/>
  <c r="G218" i="39"/>
  <c r="H218" i="39" s="1"/>
  <c r="I217" i="39"/>
  <c r="J217" i="39" s="1"/>
  <c r="G217" i="39"/>
  <c r="H217" i="39" s="1"/>
  <c r="G216" i="39"/>
  <c r="H216" i="39" s="1"/>
  <c r="I215" i="39"/>
  <c r="J215" i="39" s="1"/>
  <c r="G215" i="39"/>
  <c r="H215" i="39" s="1"/>
  <c r="G214" i="39"/>
  <c r="H214" i="39" s="1"/>
  <c r="I213" i="39"/>
  <c r="J213" i="39" s="1"/>
  <c r="G213" i="39"/>
  <c r="H213" i="39" s="1"/>
  <c r="G212" i="39"/>
  <c r="H212" i="39" s="1"/>
  <c r="I211" i="39"/>
  <c r="J211" i="39" s="1"/>
  <c r="G211" i="39"/>
  <c r="H211" i="39" s="1"/>
  <c r="G210" i="39"/>
  <c r="H210" i="39" s="1"/>
  <c r="I209" i="39"/>
  <c r="J209" i="39" s="1"/>
  <c r="G209" i="39"/>
  <c r="H209" i="39" s="1"/>
  <c r="G208" i="39"/>
  <c r="H208" i="39" s="1"/>
  <c r="I207" i="39"/>
  <c r="J207" i="39" s="1"/>
  <c r="G207" i="39"/>
  <c r="H207" i="39" s="1"/>
  <c r="G206" i="39"/>
  <c r="H206" i="39" s="1"/>
  <c r="I205" i="39"/>
  <c r="J205" i="39" s="1"/>
  <c r="G205" i="39"/>
  <c r="H205" i="39" s="1"/>
  <c r="G204" i="39"/>
  <c r="H204" i="39" s="1"/>
  <c r="I203" i="39"/>
  <c r="J203" i="39" s="1"/>
  <c r="G203" i="39"/>
  <c r="H203" i="39" s="1"/>
  <c r="G202" i="39"/>
  <c r="H202" i="39" s="1"/>
  <c r="I201" i="39"/>
  <c r="J201" i="39" s="1"/>
  <c r="G201" i="39"/>
  <c r="H201" i="39" s="1"/>
  <c r="G200" i="39"/>
  <c r="H200" i="39" s="1"/>
  <c r="I199" i="39"/>
  <c r="J199" i="39" s="1"/>
  <c r="G199" i="39"/>
  <c r="H199" i="39" s="1"/>
  <c r="G198" i="39"/>
  <c r="H198" i="39" s="1"/>
  <c r="I197" i="39"/>
  <c r="J197" i="39" s="1"/>
  <c r="G197" i="39"/>
  <c r="H197" i="39" s="1"/>
  <c r="G196" i="39"/>
  <c r="H196" i="39" s="1"/>
  <c r="I195" i="39"/>
  <c r="J195" i="39" s="1"/>
  <c r="G195" i="39"/>
  <c r="H195" i="39" s="1"/>
  <c r="G194" i="39"/>
  <c r="H194" i="39" s="1"/>
  <c r="G193" i="39"/>
  <c r="H193" i="39" s="1"/>
  <c r="G192" i="39"/>
  <c r="H192" i="39" s="1"/>
  <c r="G191" i="39"/>
  <c r="H191" i="39" s="1"/>
  <c r="G190" i="39"/>
  <c r="H190" i="39" s="1"/>
  <c r="G189" i="39"/>
  <c r="H189" i="39" s="1"/>
  <c r="G188" i="39"/>
  <c r="H188" i="39" s="1"/>
  <c r="G187" i="39"/>
  <c r="H187" i="39" s="1"/>
  <c r="G186" i="39"/>
  <c r="H186" i="39" s="1"/>
  <c r="G185" i="39"/>
  <c r="H185" i="39" s="1"/>
  <c r="G184" i="39"/>
  <c r="H184" i="39" s="1"/>
  <c r="G183" i="39"/>
  <c r="H183" i="39" s="1"/>
  <c r="G182" i="39"/>
  <c r="H182" i="39" s="1"/>
  <c r="G181" i="39"/>
  <c r="H181" i="39" s="1"/>
  <c r="G180" i="39"/>
  <c r="H180" i="39" s="1"/>
  <c r="G179" i="39"/>
  <c r="H179" i="39" s="1"/>
  <c r="G178" i="39"/>
  <c r="H178" i="39" s="1"/>
  <c r="G177" i="39"/>
  <c r="H177" i="39" s="1"/>
  <c r="G176" i="39"/>
  <c r="H176" i="39" s="1"/>
  <c r="G175" i="39"/>
  <c r="H175" i="39" s="1"/>
  <c r="G174" i="39"/>
  <c r="H174" i="39" s="1"/>
  <c r="G173" i="39"/>
  <c r="H173" i="39" s="1"/>
  <c r="G172" i="39"/>
  <c r="H172" i="39" s="1"/>
  <c r="G171" i="39"/>
  <c r="H171" i="39" s="1"/>
  <c r="G170" i="39"/>
  <c r="H170" i="39" s="1"/>
  <c r="G169" i="39"/>
  <c r="H169" i="39" s="1"/>
  <c r="G168" i="39"/>
  <c r="H168" i="39" s="1"/>
  <c r="G167" i="39"/>
  <c r="H167" i="39" s="1"/>
  <c r="G166" i="39"/>
  <c r="H166" i="39" s="1"/>
  <c r="I166" i="39" s="1"/>
  <c r="J166" i="39" s="1"/>
  <c r="G165" i="39"/>
  <c r="H165" i="39" s="1"/>
  <c r="G164" i="39"/>
  <c r="H164" i="39" s="1"/>
  <c r="G163" i="39"/>
  <c r="H163" i="39" s="1"/>
  <c r="G162" i="39"/>
  <c r="H162" i="39" s="1"/>
  <c r="G161" i="39"/>
  <c r="H161" i="39" s="1"/>
  <c r="G160" i="39"/>
  <c r="H160" i="39" s="1"/>
  <c r="G159" i="39"/>
  <c r="H159" i="39" s="1"/>
  <c r="G158" i="39"/>
  <c r="H158" i="39" s="1"/>
  <c r="G157" i="39"/>
  <c r="H157" i="39" s="1"/>
  <c r="G156" i="39"/>
  <c r="H156" i="39" s="1"/>
  <c r="G155" i="39"/>
  <c r="H155" i="39" s="1"/>
  <c r="G154" i="39"/>
  <c r="H154" i="39" s="1"/>
  <c r="G153" i="39"/>
  <c r="H153" i="39" s="1"/>
  <c r="G152" i="39"/>
  <c r="H152" i="39" s="1"/>
  <c r="G151" i="39"/>
  <c r="H151" i="39" s="1"/>
  <c r="G150" i="39"/>
  <c r="H150" i="39" s="1"/>
  <c r="G149" i="39"/>
  <c r="H149" i="39" s="1"/>
  <c r="G148" i="39"/>
  <c r="H148" i="39" s="1"/>
  <c r="G147" i="39"/>
  <c r="H147" i="39" s="1"/>
  <c r="G146" i="39"/>
  <c r="H146" i="39" s="1"/>
  <c r="G145" i="39"/>
  <c r="H145" i="39" s="1"/>
  <c r="G144" i="39"/>
  <c r="H144" i="39" s="1"/>
  <c r="G143" i="39"/>
  <c r="H143" i="39" s="1"/>
  <c r="G142" i="39"/>
  <c r="H142" i="39" s="1"/>
  <c r="G141" i="39"/>
  <c r="H141" i="39" s="1"/>
  <c r="G140" i="39"/>
  <c r="H140" i="39" s="1"/>
  <c r="G139" i="39"/>
  <c r="H139" i="39" s="1"/>
  <c r="G138" i="39"/>
  <c r="H138" i="39" s="1"/>
  <c r="G137" i="39"/>
  <c r="H137" i="39" s="1"/>
  <c r="G136" i="39"/>
  <c r="H136" i="39" s="1"/>
  <c r="G135" i="39"/>
  <c r="H135" i="39" s="1"/>
  <c r="G134" i="39"/>
  <c r="H134" i="39" s="1"/>
  <c r="G133" i="39"/>
  <c r="H133" i="39" s="1"/>
  <c r="G132" i="39"/>
  <c r="H132" i="39" s="1"/>
  <c r="G131" i="39"/>
  <c r="H131" i="39" s="1"/>
  <c r="G130" i="39"/>
  <c r="H130" i="39" s="1"/>
  <c r="G129" i="39"/>
  <c r="H129" i="39" s="1"/>
  <c r="G128" i="39"/>
  <c r="H128" i="39" s="1"/>
  <c r="G127" i="39"/>
  <c r="H127" i="39" s="1"/>
  <c r="G126" i="39"/>
  <c r="H126" i="39" s="1"/>
  <c r="G125" i="39"/>
  <c r="H125" i="39" s="1"/>
  <c r="G124" i="39"/>
  <c r="H124" i="39" s="1"/>
  <c r="G123" i="39"/>
  <c r="H123" i="39" s="1"/>
  <c r="G122" i="39"/>
  <c r="H122" i="39" s="1"/>
  <c r="G121" i="39"/>
  <c r="H121" i="39" s="1"/>
  <c r="G120" i="39"/>
  <c r="H120" i="39" s="1"/>
  <c r="H119" i="39"/>
  <c r="G119" i="39"/>
  <c r="G118" i="39"/>
  <c r="H118" i="39" s="1"/>
  <c r="H117" i="39"/>
  <c r="G117" i="39"/>
  <c r="G116" i="39"/>
  <c r="H116" i="39" s="1"/>
  <c r="H115" i="39"/>
  <c r="G115" i="39"/>
  <c r="G114" i="39"/>
  <c r="H114" i="39" s="1"/>
  <c r="H113" i="39"/>
  <c r="G113" i="39"/>
  <c r="G112" i="39"/>
  <c r="H112" i="39" s="1"/>
  <c r="H111" i="39"/>
  <c r="G111" i="39"/>
  <c r="G110" i="39"/>
  <c r="H110" i="39" s="1"/>
  <c r="H109" i="39"/>
  <c r="G109" i="39"/>
  <c r="G108" i="39"/>
  <c r="H108" i="39" s="1"/>
  <c r="H107" i="39"/>
  <c r="G107" i="39"/>
  <c r="G106" i="39"/>
  <c r="H106" i="39" s="1"/>
  <c r="H105" i="39"/>
  <c r="G105" i="39"/>
  <c r="G104" i="39"/>
  <c r="H104" i="39" s="1"/>
  <c r="H103" i="39"/>
  <c r="G103" i="39"/>
  <c r="G102" i="39"/>
  <c r="H102" i="39" s="1"/>
  <c r="H101" i="39"/>
  <c r="G101" i="39"/>
  <c r="G100" i="39"/>
  <c r="H100" i="39" s="1"/>
  <c r="H99" i="39"/>
  <c r="G99" i="39"/>
  <c r="G98" i="39"/>
  <c r="H98" i="39" s="1"/>
  <c r="H97" i="39"/>
  <c r="G97" i="39"/>
  <c r="G96" i="39"/>
  <c r="H96" i="39" s="1"/>
  <c r="H95" i="39"/>
  <c r="G95" i="39"/>
  <c r="G94" i="39"/>
  <c r="H94" i="39" s="1"/>
  <c r="H93" i="39"/>
  <c r="G93" i="39"/>
  <c r="G92" i="39"/>
  <c r="H92" i="39" s="1"/>
  <c r="H91" i="39"/>
  <c r="G91" i="39"/>
  <c r="G90" i="39"/>
  <c r="H90" i="39" s="1"/>
  <c r="H89" i="39"/>
  <c r="G89" i="39"/>
  <c r="G88" i="39"/>
  <c r="H88" i="39" s="1"/>
  <c r="H87" i="39"/>
  <c r="G87" i="39"/>
  <c r="G86" i="39"/>
  <c r="H86" i="39" s="1"/>
  <c r="H85" i="39"/>
  <c r="G85" i="39"/>
  <c r="G84" i="39"/>
  <c r="H84" i="39" s="1"/>
  <c r="H83" i="39"/>
  <c r="G83" i="39"/>
  <c r="G82" i="39"/>
  <c r="H82" i="39" s="1"/>
  <c r="H81" i="39"/>
  <c r="G81" i="39"/>
  <c r="G80" i="39"/>
  <c r="H80" i="39" s="1"/>
  <c r="H79" i="39"/>
  <c r="G79" i="39"/>
  <c r="G78" i="39"/>
  <c r="H78" i="39" s="1"/>
  <c r="H77" i="39"/>
  <c r="G77" i="39"/>
  <c r="G76" i="39"/>
  <c r="H76" i="39" s="1"/>
  <c r="H75" i="39"/>
  <c r="G75" i="39"/>
  <c r="G74" i="39"/>
  <c r="H74" i="39" s="1"/>
  <c r="H73" i="39"/>
  <c r="G73" i="39"/>
  <c r="G72" i="39"/>
  <c r="H72" i="39" s="1"/>
  <c r="G5" i="39"/>
  <c r="G11" i="38"/>
  <c r="G116" i="38"/>
  <c r="G115" i="38"/>
  <c r="H115" i="38" s="1"/>
  <c r="G114" i="38"/>
  <c r="G113" i="38"/>
  <c r="H113" i="38" s="1"/>
  <c r="G112" i="38"/>
  <c r="H112" i="38" s="1"/>
  <c r="G111" i="38"/>
  <c r="G110" i="38"/>
  <c r="H110" i="38" s="1"/>
  <c r="G109" i="38"/>
  <c r="H109" i="38" s="1"/>
  <c r="G108" i="38"/>
  <c r="G107" i="38"/>
  <c r="H107" i="38" s="1"/>
  <c r="G106" i="38"/>
  <c r="G105" i="38"/>
  <c r="H105" i="38" s="1"/>
  <c r="G104" i="38"/>
  <c r="G103" i="38"/>
  <c r="H103" i="38" s="1"/>
  <c r="G102" i="38"/>
  <c r="G101" i="38"/>
  <c r="H101" i="38" s="1"/>
  <c r="G100" i="38"/>
  <c r="G99" i="38"/>
  <c r="H99" i="38" s="1"/>
  <c r="G98" i="38"/>
  <c r="G97" i="38"/>
  <c r="H97" i="38" s="1"/>
  <c r="G96" i="38"/>
  <c r="G95" i="38"/>
  <c r="H95" i="38" s="1"/>
  <c r="G94" i="38"/>
  <c r="G93" i="38"/>
  <c r="H93" i="38" s="1"/>
  <c r="G92" i="38"/>
  <c r="G91" i="38"/>
  <c r="H91" i="38" s="1"/>
  <c r="G90" i="38"/>
  <c r="G89" i="38"/>
  <c r="H89" i="38" s="1"/>
  <c r="G88" i="38"/>
  <c r="G87" i="38"/>
  <c r="H87" i="38" s="1"/>
  <c r="G86" i="38"/>
  <c r="G85" i="38"/>
  <c r="G84" i="38"/>
  <c r="G83" i="38"/>
  <c r="H83" i="38" s="1"/>
  <c r="G82" i="38"/>
  <c r="G81" i="38"/>
  <c r="G80" i="38"/>
  <c r="H80" i="38" s="1"/>
  <c r="G79" i="38"/>
  <c r="G78" i="38"/>
  <c r="G77" i="38"/>
  <c r="G76" i="38"/>
  <c r="H76" i="38" s="1"/>
  <c r="G75" i="38"/>
  <c r="G74" i="38"/>
  <c r="G73" i="38"/>
  <c r="H73" i="38" s="1"/>
  <c r="G72" i="38"/>
  <c r="G71" i="38"/>
  <c r="H71" i="38" s="1"/>
  <c r="G70" i="38"/>
  <c r="G69" i="38"/>
  <c r="H69" i="38" s="1"/>
  <c r="G68" i="38"/>
  <c r="H68" i="38" s="1"/>
  <c r="G67" i="38"/>
  <c r="G66" i="38"/>
  <c r="H66" i="38" s="1"/>
  <c r="G65" i="38"/>
  <c r="G64" i="38"/>
  <c r="H64" i="38" s="1"/>
  <c r="G63" i="38"/>
  <c r="G62" i="38"/>
  <c r="H62" i="38" s="1"/>
  <c r="G61" i="38"/>
  <c r="G60" i="38"/>
  <c r="H60" i="38" s="1"/>
  <c r="G59" i="38"/>
  <c r="G58" i="38"/>
  <c r="G57" i="38"/>
  <c r="H57" i="38" s="1"/>
  <c r="G56" i="38"/>
  <c r="H56" i="38" s="1"/>
  <c r="G55" i="38"/>
  <c r="H55" i="38" s="1"/>
  <c r="G54" i="38"/>
  <c r="H54" i="38" s="1"/>
  <c r="G53" i="38"/>
  <c r="H53" i="38" s="1"/>
  <c r="G52" i="38"/>
  <c r="H52" i="38" s="1"/>
  <c r="G51" i="38"/>
  <c r="H51" i="38" s="1"/>
  <c r="G50" i="38"/>
  <c r="H50" i="38" s="1"/>
  <c r="G49" i="38"/>
  <c r="H49" i="38" s="1"/>
  <c r="G48" i="38"/>
  <c r="H48" i="38" s="1"/>
  <c r="G47" i="38"/>
  <c r="H47" i="38" s="1"/>
  <c r="G46" i="38"/>
  <c r="H46" i="38" s="1"/>
  <c r="G45" i="38"/>
  <c r="H45" i="38" s="1"/>
  <c r="G44" i="38"/>
  <c r="H44" i="38" s="1"/>
  <c r="G43" i="38"/>
  <c r="H43" i="38" s="1"/>
  <c r="G42" i="38"/>
  <c r="H42" i="38" s="1"/>
  <c r="G41" i="38"/>
  <c r="H41" i="38" s="1"/>
  <c r="G40" i="38"/>
  <c r="H40" i="38" s="1"/>
  <c r="G39" i="38"/>
  <c r="H39" i="38" s="1"/>
  <c r="G38" i="38"/>
  <c r="H38" i="38" s="1"/>
  <c r="G37" i="38"/>
  <c r="H37" i="38" s="1"/>
  <c r="G36" i="38"/>
  <c r="H36" i="38" s="1"/>
  <c r="G35" i="38"/>
  <c r="H35" i="38" s="1"/>
  <c r="G34" i="38"/>
  <c r="H34" i="38" s="1"/>
  <c r="G33" i="38"/>
  <c r="H33" i="38" s="1"/>
  <c r="G32" i="38"/>
  <c r="H32" i="38" s="1"/>
  <c r="G31" i="38"/>
  <c r="H31" i="38" s="1"/>
  <c r="G30" i="38"/>
  <c r="H30" i="38" s="1"/>
  <c r="G29" i="38"/>
  <c r="H29" i="38" s="1"/>
  <c r="G28" i="38"/>
  <c r="H28" i="38" s="1"/>
  <c r="G27" i="38"/>
  <c r="H27" i="38" s="1"/>
  <c r="G26" i="38"/>
  <c r="H26" i="38" s="1"/>
  <c r="G25" i="38"/>
  <c r="H25" i="38" s="1"/>
  <c r="G24" i="38"/>
  <c r="H24" i="38" s="1"/>
  <c r="G23" i="38"/>
  <c r="H23" i="38" s="1"/>
  <c r="G22" i="38"/>
  <c r="H22" i="38" s="1"/>
  <c r="G21" i="38"/>
  <c r="H21" i="38" s="1"/>
  <c r="G20" i="38"/>
  <c r="H20" i="38" s="1"/>
  <c r="G19" i="38"/>
  <c r="H19" i="38" s="1"/>
  <c r="G18" i="38"/>
  <c r="H18" i="38" s="1"/>
  <c r="G17" i="38"/>
  <c r="H17" i="38" s="1"/>
  <c r="G16" i="38"/>
  <c r="H16" i="38" s="1"/>
  <c r="G15" i="38"/>
  <c r="H15" i="38" s="1"/>
  <c r="G14" i="38"/>
  <c r="H14" i="38" s="1"/>
  <c r="G13" i="38"/>
  <c r="H13" i="38" s="1"/>
  <c r="G12" i="38"/>
  <c r="H12" i="38" s="1"/>
  <c r="G9" i="38"/>
  <c r="H9" i="38" s="1"/>
  <c r="G8" i="38"/>
  <c r="H8" i="38" s="1"/>
  <c r="G7" i="38"/>
  <c r="H7" i="38" s="1"/>
  <c r="G6" i="38"/>
  <c r="H6" i="38" s="1"/>
  <c r="G5" i="38"/>
  <c r="H5" i="38" s="1"/>
  <c r="G4" i="38"/>
  <c r="H4" i="38" s="1"/>
  <c r="G3" i="38"/>
  <c r="H3" i="38" s="1"/>
  <c r="G269" i="37"/>
  <c r="G268" i="37"/>
  <c r="G267" i="37"/>
  <c r="G266" i="37"/>
  <c r="G265" i="37"/>
  <c r="G264" i="37"/>
  <c r="G263" i="37"/>
  <c r="G262" i="37"/>
  <c r="G261" i="37"/>
  <c r="G260" i="37"/>
  <c r="G259" i="37"/>
  <c r="G258" i="37"/>
  <c r="G257" i="37"/>
  <c r="G256" i="37"/>
  <c r="G255" i="37"/>
  <c r="G254" i="37"/>
  <c r="G253" i="37"/>
  <c r="G252" i="37"/>
  <c r="G251" i="37"/>
  <c r="G250" i="37"/>
  <c r="G249" i="37"/>
  <c r="G248" i="37"/>
  <c r="G247" i="37"/>
  <c r="G246" i="37"/>
  <c r="G245" i="37"/>
  <c r="G244" i="37"/>
  <c r="G243" i="37"/>
  <c r="G242" i="37"/>
  <c r="G241" i="37"/>
  <c r="G240" i="37"/>
  <c r="G239" i="37"/>
  <c r="G238" i="37"/>
  <c r="G237" i="37"/>
  <c r="G236" i="37"/>
  <c r="G235" i="37"/>
  <c r="G234" i="37"/>
  <c r="G233" i="37"/>
  <c r="G232" i="37"/>
  <c r="G231" i="37"/>
  <c r="G230" i="37"/>
  <c r="G229" i="37"/>
  <c r="G228" i="37"/>
  <c r="G227" i="37"/>
  <c r="G226" i="37"/>
  <c r="H226" i="37" s="1"/>
  <c r="G225" i="37"/>
  <c r="H225" i="37" s="1"/>
  <c r="G224" i="37"/>
  <c r="H224" i="37" s="1"/>
  <c r="G223" i="37"/>
  <c r="H223" i="37" s="1"/>
  <c r="G222" i="37"/>
  <c r="H222" i="37" s="1"/>
  <c r="G221" i="37"/>
  <c r="H221" i="37" s="1"/>
  <c r="G220" i="37"/>
  <c r="H220" i="37" s="1"/>
  <c r="G219" i="37"/>
  <c r="H219" i="37" s="1"/>
  <c r="G218" i="37"/>
  <c r="H218" i="37" s="1"/>
  <c r="G217" i="37"/>
  <c r="H217" i="37" s="1"/>
  <c r="G216" i="37"/>
  <c r="H216" i="37" s="1"/>
  <c r="G215" i="37"/>
  <c r="H215" i="37" s="1"/>
  <c r="G214" i="37"/>
  <c r="H214" i="37" s="1"/>
  <c r="G213" i="37"/>
  <c r="H213" i="37" s="1"/>
  <c r="G212" i="37"/>
  <c r="H212" i="37" s="1"/>
  <c r="G211" i="37"/>
  <c r="H211" i="37" s="1"/>
  <c r="G210" i="37"/>
  <c r="H210" i="37" s="1"/>
  <c r="G209" i="37"/>
  <c r="H209" i="37" s="1"/>
  <c r="G208" i="37"/>
  <c r="H208" i="37" s="1"/>
  <c r="G207" i="37"/>
  <c r="H207" i="37" s="1"/>
  <c r="G206" i="37"/>
  <c r="H206" i="37" s="1"/>
  <c r="G205" i="37"/>
  <c r="H205" i="37" s="1"/>
  <c r="G204" i="37"/>
  <c r="H204" i="37" s="1"/>
  <c r="G203" i="37"/>
  <c r="H203" i="37" s="1"/>
  <c r="G202" i="37"/>
  <c r="H202" i="37" s="1"/>
  <c r="G201" i="37"/>
  <c r="H201" i="37" s="1"/>
  <c r="G200" i="37"/>
  <c r="H200" i="37" s="1"/>
  <c r="G199" i="37"/>
  <c r="H199" i="37" s="1"/>
  <c r="G198" i="37"/>
  <c r="H198" i="37" s="1"/>
  <c r="G197" i="37"/>
  <c r="H197" i="37" s="1"/>
  <c r="G196" i="37"/>
  <c r="H196" i="37" s="1"/>
  <c r="G195" i="37"/>
  <c r="H195" i="37" s="1"/>
  <c r="G194" i="37"/>
  <c r="H194" i="37" s="1"/>
  <c r="G193" i="37"/>
  <c r="H193" i="37" s="1"/>
  <c r="G192" i="37"/>
  <c r="H192" i="37" s="1"/>
  <c r="G191" i="37"/>
  <c r="H191" i="37" s="1"/>
  <c r="G190" i="37"/>
  <c r="H190" i="37" s="1"/>
  <c r="G189" i="37"/>
  <c r="H189" i="37" s="1"/>
  <c r="G188" i="37"/>
  <c r="H188" i="37" s="1"/>
  <c r="G187" i="37"/>
  <c r="H187" i="37" s="1"/>
  <c r="G186" i="37"/>
  <c r="H186" i="37" s="1"/>
  <c r="G185" i="37"/>
  <c r="H185" i="37" s="1"/>
  <c r="G184" i="37"/>
  <c r="H184" i="37" s="1"/>
  <c r="G183" i="37"/>
  <c r="H183" i="37" s="1"/>
  <c r="G182" i="37"/>
  <c r="H182" i="37" s="1"/>
  <c r="G181" i="37"/>
  <c r="H181" i="37" s="1"/>
  <c r="G180" i="37"/>
  <c r="H180" i="37" s="1"/>
  <c r="G179" i="37"/>
  <c r="H179" i="37" s="1"/>
  <c r="G178" i="37"/>
  <c r="H178" i="37" s="1"/>
  <c r="G177" i="37"/>
  <c r="H177" i="37" s="1"/>
  <c r="G176" i="37"/>
  <c r="H176" i="37" s="1"/>
  <c r="G175" i="37"/>
  <c r="H175" i="37" s="1"/>
  <c r="G174" i="37"/>
  <c r="H174" i="37" s="1"/>
  <c r="G173" i="37"/>
  <c r="G172" i="37"/>
  <c r="G171" i="37"/>
  <c r="G170" i="37"/>
  <c r="G169" i="37"/>
  <c r="G168" i="37"/>
  <c r="G167" i="37"/>
  <c r="G166" i="37"/>
  <c r="G165" i="37"/>
  <c r="G164" i="37"/>
  <c r="G163" i="37"/>
  <c r="G162" i="37"/>
  <c r="G161" i="37"/>
  <c r="G160" i="37"/>
  <c r="G159" i="37"/>
  <c r="G158" i="37"/>
  <c r="G157" i="37"/>
  <c r="G156" i="37"/>
  <c r="G155" i="37"/>
  <c r="G154" i="37"/>
  <c r="G153" i="37"/>
  <c r="G152" i="37"/>
  <c r="G151" i="37"/>
  <c r="G150" i="37"/>
  <c r="G149" i="37"/>
  <c r="G148" i="37"/>
  <c r="G147" i="37"/>
  <c r="G146" i="37"/>
  <c r="G145" i="37"/>
  <c r="G144" i="37"/>
  <c r="G143" i="37"/>
  <c r="G142" i="37"/>
  <c r="G141" i="37"/>
  <c r="H141" i="37" s="1"/>
  <c r="I140" i="37"/>
  <c r="J140" i="37" s="1"/>
  <c r="G140" i="37"/>
  <c r="H140" i="37" s="1"/>
  <c r="G139" i="37"/>
  <c r="H139" i="37" s="1"/>
  <c r="I138" i="37"/>
  <c r="J138" i="37" s="1"/>
  <c r="G138" i="37"/>
  <c r="H138" i="37" s="1"/>
  <c r="G137" i="37"/>
  <c r="H137" i="37" s="1"/>
  <c r="I136" i="37"/>
  <c r="J136" i="37" s="1"/>
  <c r="G136" i="37"/>
  <c r="H136" i="37" s="1"/>
  <c r="G135" i="37"/>
  <c r="H135" i="37" s="1"/>
  <c r="I134" i="37"/>
  <c r="J134" i="37" s="1"/>
  <c r="G134" i="37"/>
  <c r="H134" i="37" s="1"/>
  <c r="G133" i="37"/>
  <c r="H133" i="37" s="1"/>
  <c r="I132" i="37"/>
  <c r="J132" i="37" s="1"/>
  <c r="G132" i="37"/>
  <c r="H132" i="37" s="1"/>
  <c r="G131" i="37"/>
  <c r="H131" i="37" s="1"/>
  <c r="I130" i="37"/>
  <c r="J130" i="37" s="1"/>
  <c r="G130" i="37"/>
  <c r="H130" i="37" s="1"/>
  <c r="G129" i="37"/>
  <c r="H129" i="37" s="1"/>
  <c r="I128" i="37"/>
  <c r="J128" i="37" s="1"/>
  <c r="G128" i="37"/>
  <c r="H128" i="37" s="1"/>
  <c r="G127" i="37"/>
  <c r="H127" i="37" s="1"/>
  <c r="I126" i="37"/>
  <c r="J126" i="37" s="1"/>
  <c r="G126" i="37"/>
  <c r="H126" i="37" s="1"/>
  <c r="G125" i="37"/>
  <c r="H125" i="37" s="1"/>
  <c r="I124" i="37"/>
  <c r="J124" i="37" s="1"/>
  <c r="G124" i="37"/>
  <c r="H124" i="37" s="1"/>
  <c r="G123" i="37"/>
  <c r="H123" i="37" s="1"/>
  <c r="I122" i="37"/>
  <c r="J122" i="37" s="1"/>
  <c r="G122" i="37"/>
  <c r="H122" i="37" s="1"/>
  <c r="G121" i="37"/>
  <c r="H121" i="37" s="1"/>
  <c r="I120" i="37"/>
  <c r="J120" i="37" s="1"/>
  <c r="G120" i="37"/>
  <c r="H120" i="37" s="1"/>
  <c r="G119" i="37"/>
  <c r="H119" i="37" s="1"/>
  <c r="I119" i="37" s="1"/>
  <c r="J119" i="37" s="1"/>
  <c r="G118" i="37"/>
  <c r="H118" i="37" s="1"/>
  <c r="G117" i="37"/>
  <c r="H117" i="37" s="1"/>
  <c r="G116" i="37"/>
  <c r="H116" i="37" s="1"/>
  <c r="G115" i="37"/>
  <c r="H115" i="37" s="1"/>
  <c r="G114" i="37"/>
  <c r="H114" i="37" s="1"/>
  <c r="G113" i="37"/>
  <c r="H113" i="37" s="1"/>
  <c r="G112" i="37"/>
  <c r="H112" i="37" s="1"/>
  <c r="G111" i="37"/>
  <c r="H111" i="37" s="1"/>
  <c r="G110" i="37"/>
  <c r="H110" i="37" s="1"/>
  <c r="G109" i="37"/>
  <c r="H109" i="37" s="1"/>
  <c r="G108" i="37"/>
  <c r="H108" i="37" s="1"/>
  <c r="G107" i="37"/>
  <c r="H107" i="37" s="1"/>
  <c r="G106" i="37"/>
  <c r="H106" i="37" s="1"/>
  <c r="G105" i="37"/>
  <c r="H105" i="37" s="1"/>
  <c r="G104" i="37"/>
  <c r="H104" i="37" s="1"/>
  <c r="G103" i="37"/>
  <c r="H103" i="37" s="1"/>
  <c r="G102" i="37"/>
  <c r="H102" i="37" s="1"/>
  <c r="G101" i="37"/>
  <c r="H101" i="37" s="1"/>
  <c r="G100" i="37"/>
  <c r="H100" i="37" s="1"/>
  <c r="G99" i="37"/>
  <c r="H99" i="37" s="1"/>
  <c r="G98" i="37"/>
  <c r="H98" i="37" s="1"/>
  <c r="G97" i="37"/>
  <c r="H97" i="37" s="1"/>
  <c r="G96" i="37"/>
  <c r="H96" i="37" s="1"/>
  <c r="G95" i="37"/>
  <c r="H95" i="37" s="1"/>
  <c r="G94" i="37"/>
  <c r="H94" i="37" s="1"/>
  <c r="G93" i="37"/>
  <c r="H93" i="37" s="1"/>
  <c r="G92" i="37"/>
  <c r="H92" i="37" s="1"/>
  <c r="G91" i="37"/>
  <c r="H91" i="37" s="1"/>
  <c r="G90" i="37"/>
  <c r="H90" i="37" s="1"/>
  <c r="G89" i="37"/>
  <c r="H89" i="37" s="1"/>
  <c r="G88" i="37"/>
  <c r="H88" i="37" s="1"/>
  <c r="G87" i="37"/>
  <c r="H87" i="37" s="1"/>
  <c r="G86" i="37"/>
  <c r="H86" i="37" s="1"/>
  <c r="G85" i="37"/>
  <c r="H85" i="37" s="1"/>
  <c r="G84" i="37"/>
  <c r="H84" i="37" s="1"/>
  <c r="G83" i="37"/>
  <c r="H83" i="37" s="1"/>
  <c r="G82" i="37"/>
  <c r="H82" i="37" s="1"/>
  <c r="G81" i="37"/>
  <c r="H81" i="37" s="1"/>
  <c r="G80" i="37"/>
  <c r="H80" i="37" s="1"/>
  <c r="G79" i="37"/>
  <c r="H79" i="37" s="1"/>
  <c r="G78" i="37"/>
  <c r="H78" i="37" s="1"/>
  <c r="G77" i="37"/>
  <c r="H77" i="37" s="1"/>
  <c r="G76" i="37"/>
  <c r="H76" i="37" s="1"/>
  <c r="G75" i="37"/>
  <c r="H75" i="37" s="1"/>
  <c r="G74" i="37"/>
  <c r="H74" i="37" s="1"/>
  <c r="G73" i="37"/>
  <c r="H73" i="37" s="1"/>
  <c r="G72" i="37"/>
  <c r="H72" i="37" s="1"/>
  <c r="G71" i="37"/>
  <c r="H71" i="37" s="1"/>
  <c r="G70" i="37"/>
  <c r="H70" i="37" s="1"/>
  <c r="G69" i="37"/>
  <c r="H69" i="37" s="1"/>
  <c r="G68" i="37"/>
  <c r="H68" i="37" s="1"/>
  <c r="G67" i="37"/>
  <c r="H67" i="37" s="1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G52" i="37"/>
  <c r="G51" i="37"/>
  <c r="G50" i="37"/>
  <c r="G49" i="37"/>
  <c r="G48" i="37"/>
  <c r="G47" i="37"/>
  <c r="G46" i="37"/>
  <c r="G45" i="37"/>
  <c r="G44" i="37"/>
  <c r="G43" i="37"/>
  <c r="G42" i="37"/>
  <c r="G41" i="37"/>
  <c r="G40" i="37"/>
  <c r="G39" i="37"/>
  <c r="G38" i="37"/>
  <c r="G37" i="37"/>
  <c r="G36" i="37"/>
  <c r="G35" i="37"/>
  <c r="G34" i="37"/>
  <c r="G33" i="37"/>
  <c r="G32" i="37"/>
  <c r="G31" i="37"/>
  <c r="G30" i="37"/>
  <c r="G29" i="37"/>
  <c r="G28" i="37"/>
  <c r="G27" i="37"/>
  <c r="G26" i="37"/>
  <c r="G25" i="37"/>
  <c r="G24" i="37"/>
  <c r="G23" i="37"/>
  <c r="G22" i="37"/>
  <c r="G21" i="37"/>
  <c r="G20" i="37"/>
  <c r="G19" i="37"/>
  <c r="G18" i="37"/>
  <c r="G17" i="37"/>
  <c r="G16" i="37"/>
  <c r="G15" i="37"/>
  <c r="G14" i="37"/>
  <c r="G13" i="37"/>
  <c r="G12" i="37"/>
  <c r="G11" i="37"/>
  <c r="G10" i="37"/>
  <c r="G9" i="37"/>
  <c r="G8" i="37"/>
  <c r="H8" i="37" s="1"/>
  <c r="G7" i="37"/>
  <c r="H7" i="37" s="1"/>
  <c r="G5" i="37"/>
  <c r="G4" i="37"/>
  <c r="G3" i="37"/>
  <c r="G6" i="37"/>
  <c r="G159" i="36"/>
  <c r="G158" i="36"/>
  <c r="G157" i="36"/>
  <c r="G156" i="36"/>
  <c r="G155" i="36"/>
  <c r="G154" i="36"/>
  <c r="G153" i="36"/>
  <c r="G152" i="36"/>
  <c r="G151" i="36"/>
  <c r="G150" i="36"/>
  <c r="G149" i="36"/>
  <c r="G148" i="36"/>
  <c r="G147" i="36"/>
  <c r="G146" i="36"/>
  <c r="G145" i="36"/>
  <c r="G144" i="36"/>
  <c r="G143" i="36"/>
  <c r="G142" i="36"/>
  <c r="G141" i="36"/>
  <c r="G140" i="36"/>
  <c r="G139" i="36"/>
  <c r="G138" i="36"/>
  <c r="G137" i="36"/>
  <c r="G136" i="36"/>
  <c r="G135" i="36"/>
  <c r="G134" i="36"/>
  <c r="G133" i="36"/>
  <c r="G132" i="36"/>
  <c r="G131" i="36"/>
  <c r="G130" i="36"/>
  <c r="G129" i="36"/>
  <c r="G128" i="36"/>
  <c r="G127" i="36"/>
  <c r="G126" i="36"/>
  <c r="G125" i="36"/>
  <c r="G124" i="36"/>
  <c r="G123" i="36"/>
  <c r="H123" i="36" s="1"/>
  <c r="G122" i="36"/>
  <c r="H122" i="36" s="1"/>
  <c r="G121" i="36"/>
  <c r="H121" i="36" s="1"/>
  <c r="G120" i="36"/>
  <c r="H120" i="36" s="1"/>
  <c r="G119" i="36"/>
  <c r="H119" i="36" s="1"/>
  <c r="G118" i="36"/>
  <c r="H118" i="36" s="1"/>
  <c r="G117" i="36"/>
  <c r="H117" i="36" s="1"/>
  <c r="G116" i="36"/>
  <c r="H116" i="36" s="1"/>
  <c r="G115" i="36"/>
  <c r="H115" i="36" s="1"/>
  <c r="G114" i="36"/>
  <c r="H114" i="36" s="1"/>
  <c r="G113" i="36"/>
  <c r="H113" i="36" s="1"/>
  <c r="G112" i="36"/>
  <c r="H112" i="36" s="1"/>
  <c r="G111" i="36"/>
  <c r="H111" i="36" s="1"/>
  <c r="G110" i="36"/>
  <c r="H110" i="36" s="1"/>
  <c r="G109" i="36"/>
  <c r="H109" i="36" s="1"/>
  <c r="G108" i="36"/>
  <c r="H108" i="36" s="1"/>
  <c r="G107" i="36"/>
  <c r="H107" i="36" s="1"/>
  <c r="G106" i="36"/>
  <c r="H106" i="36" s="1"/>
  <c r="G105" i="36"/>
  <c r="H105" i="36" s="1"/>
  <c r="G104" i="36"/>
  <c r="H104" i="36" s="1"/>
  <c r="G103" i="36"/>
  <c r="H103" i="36" s="1"/>
  <c r="G102" i="36"/>
  <c r="H102" i="36" s="1"/>
  <c r="G101" i="36"/>
  <c r="H101" i="36" s="1"/>
  <c r="G100" i="36"/>
  <c r="H100" i="36" s="1"/>
  <c r="G99" i="36"/>
  <c r="H99" i="36" s="1"/>
  <c r="G98" i="36"/>
  <c r="H98" i="36" s="1"/>
  <c r="G97" i="36"/>
  <c r="H97" i="36" s="1"/>
  <c r="G96" i="36"/>
  <c r="H96" i="36" s="1"/>
  <c r="G95" i="36"/>
  <c r="H95" i="36" s="1"/>
  <c r="G94" i="36"/>
  <c r="H94" i="36" s="1"/>
  <c r="G93" i="36"/>
  <c r="H93" i="36" s="1"/>
  <c r="G92" i="36"/>
  <c r="H92" i="36" s="1"/>
  <c r="G91" i="36"/>
  <c r="H91" i="36" s="1"/>
  <c r="G90" i="36"/>
  <c r="H90" i="36" s="1"/>
  <c r="G89" i="36"/>
  <c r="H89" i="36" s="1"/>
  <c r="G88" i="36"/>
  <c r="H88" i="36" s="1"/>
  <c r="G87" i="36"/>
  <c r="H87" i="36" s="1"/>
  <c r="G86" i="36"/>
  <c r="H86" i="36" s="1"/>
  <c r="G85" i="36"/>
  <c r="H85" i="36" s="1"/>
  <c r="G84" i="36"/>
  <c r="H84" i="36" s="1"/>
  <c r="G83" i="36"/>
  <c r="H83" i="36" s="1"/>
  <c r="G82" i="36"/>
  <c r="H82" i="36" s="1"/>
  <c r="G81" i="36"/>
  <c r="H81" i="36" s="1"/>
  <c r="G80" i="36"/>
  <c r="H80" i="36" s="1"/>
  <c r="G79" i="36"/>
  <c r="H79" i="36" s="1"/>
  <c r="G78" i="36"/>
  <c r="H78" i="36" s="1"/>
  <c r="G77" i="36"/>
  <c r="H77" i="36" s="1"/>
  <c r="G76" i="36"/>
  <c r="H76" i="36" s="1"/>
  <c r="G75" i="36"/>
  <c r="H75" i="36" s="1"/>
  <c r="G74" i="36"/>
  <c r="H74" i="36" s="1"/>
  <c r="G73" i="36"/>
  <c r="H73" i="36" s="1"/>
  <c r="G72" i="36"/>
  <c r="H72" i="36" s="1"/>
  <c r="G71" i="36"/>
  <c r="H71" i="36" s="1"/>
  <c r="G70" i="36"/>
  <c r="H70" i="36" s="1"/>
  <c r="G69" i="36"/>
  <c r="H69" i="36" s="1"/>
  <c r="G68" i="36"/>
  <c r="H68" i="36" s="1"/>
  <c r="G67" i="36"/>
  <c r="H67" i="36" s="1"/>
  <c r="G66" i="36"/>
  <c r="H66" i="36" s="1"/>
  <c r="G65" i="36"/>
  <c r="H65" i="36" s="1"/>
  <c r="G64" i="36"/>
  <c r="H64" i="36" s="1"/>
  <c r="G63" i="36"/>
  <c r="H63" i="36" s="1"/>
  <c r="G62" i="36"/>
  <c r="H62" i="36" s="1"/>
  <c r="G61" i="36"/>
  <c r="H61" i="36" s="1"/>
  <c r="G60" i="36"/>
  <c r="H60" i="36" s="1"/>
  <c r="G59" i="36"/>
  <c r="H59" i="36" s="1"/>
  <c r="G58" i="36"/>
  <c r="H58" i="36" s="1"/>
  <c r="G57" i="36"/>
  <c r="H57" i="36" s="1"/>
  <c r="G56" i="36"/>
  <c r="H56" i="36" s="1"/>
  <c r="G55" i="36"/>
  <c r="H55" i="36" s="1"/>
  <c r="G54" i="36"/>
  <c r="H54" i="36" s="1"/>
  <c r="G53" i="36"/>
  <c r="H53" i="36" s="1"/>
  <c r="G52" i="36"/>
  <c r="H52" i="36" s="1"/>
  <c r="G51" i="36"/>
  <c r="H51" i="36" s="1"/>
  <c r="G50" i="36"/>
  <c r="H50" i="36" s="1"/>
  <c r="G49" i="36"/>
  <c r="H49" i="36" s="1"/>
  <c r="G48" i="36"/>
  <c r="H48" i="36" s="1"/>
  <c r="G47" i="36"/>
  <c r="H47" i="36" s="1"/>
  <c r="G46" i="36"/>
  <c r="H46" i="36" s="1"/>
  <c r="G45" i="36"/>
  <c r="H45" i="36" s="1"/>
  <c r="G44" i="36"/>
  <c r="H44" i="36" s="1"/>
  <c r="G43" i="36"/>
  <c r="H43" i="36" s="1"/>
  <c r="G42" i="36"/>
  <c r="H42" i="36" s="1"/>
  <c r="G41" i="36"/>
  <c r="H41" i="36" s="1"/>
  <c r="G40" i="36"/>
  <c r="H40" i="36" s="1"/>
  <c r="G39" i="36"/>
  <c r="H39" i="36" s="1"/>
  <c r="G38" i="36"/>
  <c r="H38" i="36" s="1"/>
  <c r="G37" i="36"/>
  <c r="H37" i="36" s="1"/>
  <c r="G36" i="36"/>
  <c r="H36" i="36" s="1"/>
  <c r="G35" i="36"/>
  <c r="H35" i="36" s="1"/>
  <c r="G34" i="36"/>
  <c r="H34" i="36" s="1"/>
  <c r="G33" i="36"/>
  <c r="H33" i="36" s="1"/>
  <c r="G32" i="36"/>
  <c r="H32" i="36" s="1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H14" i="36" s="1"/>
  <c r="I14" i="36" s="1"/>
  <c r="J14" i="36" s="1"/>
  <c r="G13" i="36"/>
  <c r="G12" i="36"/>
  <c r="G11" i="36"/>
  <c r="G10" i="36"/>
  <c r="G9" i="36"/>
  <c r="G8" i="36"/>
  <c r="G7" i="36"/>
  <c r="G6" i="36"/>
  <c r="G5" i="36"/>
  <c r="G4" i="36"/>
  <c r="G3" i="36"/>
  <c r="G312" i="35"/>
  <c r="G311" i="35"/>
  <c r="G310" i="35"/>
  <c r="G309" i="35"/>
  <c r="G308" i="35"/>
  <c r="G307" i="35"/>
  <c r="H307" i="35" s="1"/>
  <c r="G306" i="35"/>
  <c r="H306" i="35" s="1"/>
  <c r="G305" i="35"/>
  <c r="H305" i="35" s="1"/>
  <c r="G304" i="35"/>
  <c r="H304" i="35" s="1"/>
  <c r="G303" i="35"/>
  <c r="H303" i="35" s="1"/>
  <c r="G302" i="35"/>
  <c r="H302" i="35" s="1"/>
  <c r="G301" i="35"/>
  <c r="H301" i="35" s="1"/>
  <c r="G300" i="35"/>
  <c r="H300" i="35" s="1"/>
  <c r="G299" i="35"/>
  <c r="H299" i="35" s="1"/>
  <c r="G298" i="35"/>
  <c r="H298" i="35" s="1"/>
  <c r="G297" i="35"/>
  <c r="H297" i="35" s="1"/>
  <c r="G296" i="35"/>
  <c r="H296" i="35" s="1"/>
  <c r="G295" i="35"/>
  <c r="H295" i="35" s="1"/>
  <c r="G294" i="35"/>
  <c r="H294" i="35" s="1"/>
  <c r="G293" i="35"/>
  <c r="H293" i="35" s="1"/>
  <c r="G292" i="35"/>
  <c r="H292" i="35" s="1"/>
  <c r="G291" i="35"/>
  <c r="H291" i="35" s="1"/>
  <c r="G290" i="35"/>
  <c r="H290" i="35" s="1"/>
  <c r="G289" i="35"/>
  <c r="H289" i="35" s="1"/>
  <c r="G288" i="35"/>
  <c r="H288" i="35" s="1"/>
  <c r="G287" i="35"/>
  <c r="H287" i="35" s="1"/>
  <c r="G286" i="35"/>
  <c r="H286" i="35" s="1"/>
  <c r="G285" i="35"/>
  <c r="H285" i="35" s="1"/>
  <c r="G284" i="35"/>
  <c r="H284" i="35" s="1"/>
  <c r="G283" i="35"/>
  <c r="H283" i="35" s="1"/>
  <c r="G282" i="35"/>
  <c r="H282" i="35" s="1"/>
  <c r="G281" i="35"/>
  <c r="H281" i="35" s="1"/>
  <c r="G280" i="35"/>
  <c r="H280" i="35" s="1"/>
  <c r="G279" i="35"/>
  <c r="H279" i="35" s="1"/>
  <c r="G278" i="35"/>
  <c r="H278" i="35" s="1"/>
  <c r="G277" i="35"/>
  <c r="H277" i="35" s="1"/>
  <c r="G276" i="35"/>
  <c r="H276" i="35" s="1"/>
  <c r="G275" i="35"/>
  <c r="H275" i="35" s="1"/>
  <c r="G274" i="35"/>
  <c r="H274" i="35" s="1"/>
  <c r="G273" i="35"/>
  <c r="H273" i="35" s="1"/>
  <c r="G272" i="35"/>
  <c r="H272" i="35" s="1"/>
  <c r="G271" i="35"/>
  <c r="H271" i="35" s="1"/>
  <c r="G270" i="35"/>
  <c r="H270" i="35" s="1"/>
  <c r="G269" i="35"/>
  <c r="H269" i="35" s="1"/>
  <c r="G268" i="35"/>
  <c r="H268" i="35" s="1"/>
  <c r="G267" i="35"/>
  <c r="H267" i="35" s="1"/>
  <c r="G266" i="35"/>
  <c r="H266" i="35" s="1"/>
  <c r="G265" i="35"/>
  <c r="H265" i="35" s="1"/>
  <c r="G264" i="35"/>
  <c r="H264" i="35" s="1"/>
  <c r="G263" i="35"/>
  <c r="H263" i="35" s="1"/>
  <c r="G262" i="35"/>
  <c r="H262" i="35" s="1"/>
  <c r="G261" i="35"/>
  <c r="H261" i="35" s="1"/>
  <c r="G260" i="35"/>
  <c r="H260" i="35" s="1"/>
  <c r="G259" i="35"/>
  <c r="H259" i="35" s="1"/>
  <c r="G258" i="35"/>
  <c r="H258" i="35" s="1"/>
  <c r="G257" i="35"/>
  <c r="H257" i="35" s="1"/>
  <c r="G256" i="35"/>
  <c r="H256" i="35" s="1"/>
  <c r="G255" i="35"/>
  <c r="H255" i="35" s="1"/>
  <c r="G254" i="35"/>
  <c r="H254" i="35" s="1"/>
  <c r="G253" i="35"/>
  <c r="H253" i="35" s="1"/>
  <c r="G252" i="35"/>
  <c r="H252" i="35" s="1"/>
  <c r="G251" i="35"/>
  <c r="H251" i="35" s="1"/>
  <c r="G250" i="35"/>
  <c r="H250" i="35" s="1"/>
  <c r="G249" i="35"/>
  <c r="H249" i="35" s="1"/>
  <c r="G248" i="35"/>
  <c r="H248" i="35" s="1"/>
  <c r="G247" i="35"/>
  <c r="H247" i="35" s="1"/>
  <c r="G246" i="35"/>
  <c r="H246" i="35" s="1"/>
  <c r="G245" i="35"/>
  <c r="H245" i="35" s="1"/>
  <c r="G244" i="35"/>
  <c r="H244" i="35" s="1"/>
  <c r="G243" i="35"/>
  <c r="H243" i="35" s="1"/>
  <c r="G242" i="35"/>
  <c r="H242" i="35" s="1"/>
  <c r="G241" i="35"/>
  <c r="H241" i="35" s="1"/>
  <c r="G240" i="35"/>
  <c r="H240" i="35" s="1"/>
  <c r="G239" i="35"/>
  <c r="H239" i="35" s="1"/>
  <c r="G238" i="35"/>
  <c r="G237" i="35"/>
  <c r="G236" i="35"/>
  <c r="G235" i="35"/>
  <c r="G234" i="35"/>
  <c r="G233" i="35"/>
  <c r="G232" i="35"/>
  <c r="G231" i="35"/>
  <c r="G230" i="35"/>
  <c r="G229" i="35"/>
  <c r="G228" i="35"/>
  <c r="G227" i="35"/>
  <c r="G226" i="35"/>
  <c r="G225" i="35"/>
  <c r="G224" i="35"/>
  <c r="G223" i="35"/>
  <c r="G222" i="35"/>
  <c r="G221" i="35"/>
  <c r="G220" i="35"/>
  <c r="G219" i="35"/>
  <c r="G218" i="35"/>
  <c r="G217" i="35"/>
  <c r="G216" i="35"/>
  <c r="G215" i="35"/>
  <c r="G214" i="35"/>
  <c r="G213" i="35"/>
  <c r="G212" i="35"/>
  <c r="G211" i="35"/>
  <c r="G210" i="35"/>
  <c r="G209" i="35"/>
  <c r="G208" i="35"/>
  <c r="G207" i="35"/>
  <c r="G206" i="35"/>
  <c r="G205" i="35"/>
  <c r="G204" i="35"/>
  <c r="G203" i="35"/>
  <c r="G202" i="35"/>
  <c r="G201" i="35"/>
  <c r="G200" i="35"/>
  <c r="G199" i="35"/>
  <c r="G198" i="35"/>
  <c r="G197" i="35"/>
  <c r="G196" i="35"/>
  <c r="G195" i="35"/>
  <c r="G194" i="35"/>
  <c r="G193" i="35"/>
  <c r="G192" i="35"/>
  <c r="G191" i="35"/>
  <c r="G190" i="35"/>
  <c r="G189" i="35"/>
  <c r="G188" i="35"/>
  <c r="G187" i="35"/>
  <c r="G186" i="35"/>
  <c r="G185" i="35"/>
  <c r="G184" i="35"/>
  <c r="H184" i="35" s="1"/>
  <c r="G183" i="35"/>
  <c r="H183" i="35" s="1"/>
  <c r="G182" i="35"/>
  <c r="H182" i="35" s="1"/>
  <c r="G181" i="35"/>
  <c r="H181" i="35" s="1"/>
  <c r="G180" i="35"/>
  <c r="H180" i="35" s="1"/>
  <c r="G179" i="35"/>
  <c r="H179" i="35" s="1"/>
  <c r="G178" i="35"/>
  <c r="H178" i="35" s="1"/>
  <c r="G177" i="35"/>
  <c r="H177" i="35" s="1"/>
  <c r="G176" i="35"/>
  <c r="G175" i="35"/>
  <c r="G174" i="35"/>
  <c r="G173" i="35"/>
  <c r="G172" i="35"/>
  <c r="G171" i="35"/>
  <c r="G170" i="35"/>
  <c r="G169" i="35"/>
  <c r="H169" i="35" s="1"/>
  <c r="I168" i="35"/>
  <c r="J168" i="35" s="1"/>
  <c r="G168" i="35"/>
  <c r="H168" i="35" s="1"/>
  <c r="G167" i="35"/>
  <c r="H167" i="35" s="1"/>
  <c r="I166" i="35"/>
  <c r="J166" i="35" s="1"/>
  <c r="G166" i="35"/>
  <c r="H166" i="35" s="1"/>
  <c r="G165" i="35"/>
  <c r="H165" i="35" s="1"/>
  <c r="G164" i="35"/>
  <c r="H164" i="35" s="1"/>
  <c r="G163" i="35"/>
  <c r="H163" i="35" s="1"/>
  <c r="G162" i="35"/>
  <c r="H162" i="35" s="1"/>
  <c r="G161" i="35"/>
  <c r="H161" i="35" s="1"/>
  <c r="G160" i="35"/>
  <c r="H160" i="35" s="1"/>
  <c r="G159" i="35"/>
  <c r="H159" i="35" s="1"/>
  <c r="G158" i="35"/>
  <c r="H158" i="35" s="1"/>
  <c r="G157" i="35"/>
  <c r="H157" i="35" s="1"/>
  <c r="G156" i="35"/>
  <c r="H156" i="35" s="1"/>
  <c r="G155" i="35"/>
  <c r="H155" i="35" s="1"/>
  <c r="G154" i="35"/>
  <c r="H154" i="35" s="1"/>
  <c r="G153" i="35"/>
  <c r="H153" i="35" s="1"/>
  <c r="G152" i="35"/>
  <c r="H152" i="35" s="1"/>
  <c r="G151" i="35"/>
  <c r="H151" i="35" s="1"/>
  <c r="G150" i="35"/>
  <c r="H150" i="35" s="1"/>
  <c r="G149" i="35"/>
  <c r="H149" i="35" s="1"/>
  <c r="G148" i="35"/>
  <c r="H148" i="35" s="1"/>
  <c r="G147" i="35"/>
  <c r="H147" i="35" s="1"/>
  <c r="G146" i="35"/>
  <c r="H146" i="35" s="1"/>
  <c r="G145" i="35"/>
  <c r="H145" i="35" s="1"/>
  <c r="G144" i="35"/>
  <c r="H144" i="35" s="1"/>
  <c r="G143" i="35"/>
  <c r="H143" i="35" s="1"/>
  <c r="G142" i="35"/>
  <c r="H142" i="35" s="1"/>
  <c r="G141" i="35"/>
  <c r="H141" i="35" s="1"/>
  <c r="G140" i="35"/>
  <c r="H140" i="35" s="1"/>
  <c r="G139" i="35"/>
  <c r="H139" i="35" s="1"/>
  <c r="G138" i="35"/>
  <c r="H138" i="35" s="1"/>
  <c r="G137" i="35"/>
  <c r="H137" i="35" s="1"/>
  <c r="G136" i="35"/>
  <c r="H136" i="35" s="1"/>
  <c r="G135" i="35"/>
  <c r="H135" i="35" s="1"/>
  <c r="G134" i="35"/>
  <c r="H134" i="35" s="1"/>
  <c r="G133" i="35"/>
  <c r="H133" i="35" s="1"/>
  <c r="G132" i="35"/>
  <c r="H132" i="35" s="1"/>
  <c r="G131" i="35"/>
  <c r="H131" i="35" s="1"/>
  <c r="G130" i="35"/>
  <c r="H130" i="35" s="1"/>
  <c r="G129" i="35"/>
  <c r="H129" i="35" s="1"/>
  <c r="G128" i="35"/>
  <c r="H128" i="35" s="1"/>
  <c r="G127" i="35"/>
  <c r="H127" i="35" s="1"/>
  <c r="G126" i="35"/>
  <c r="H126" i="35" s="1"/>
  <c r="G125" i="35"/>
  <c r="H125" i="35" s="1"/>
  <c r="G124" i="35"/>
  <c r="H124" i="35" s="1"/>
  <c r="G123" i="35"/>
  <c r="H123" i="35" s="1"/>
  <c r="G122" i="35"/>
  <c r="H122" i="35" s="1"/>
  <c r="G121" i="35"/>
  <c r="H121" i="35" s="1"/>
  <c r="G120" i="35"/>
  <c r="H120" i="35" s="1"/>
  <c r="H119" i="35"/>
  <c r="G119" i="35"/>
  <c r="I119" i="35" s="1"/>
  <c r="J119" i="35" s="1"/>
  <c r="G118" i="35"/>
  <c r="H118" i="35" s="1"/>
  <c r="G117" i="35"/>
  <c r="G116" i="35"/>
  <c r="H116" i="35" s="1"/>
  <c r="G115" i="35"/>
  <c r="G114" i="35"/>
  <c r="G113" i="35"/>
  <c r="G112" i="35"/>
  <c r="G111" i="35"/>
  <c r="G110" i="35"/>
  <c r="H110" i="35" s="1"/>
  <c r="G109" i="35"/>
  <c r="G108" i="35"/>
  <c r="H108" i="35" s="1"/>
  <c r="G107" i="35"/>
  <c r="G106" i="35"/>
  <c r="G105" i="35"/>
  <c r="G104" i="35"/>
  <c r="H104" i="35" s="1"/>
  <c r="G103" i="35"/>
  <c r="G102" i="35"/>
  <c r="G101" i="35"/>
  <c r="G100" i="35"/>
  <c r="H100" i="35" s="1"/>
  <c r="G99" i="35"/>
  <c r="G98" i="35"/>
  <c r="G97" i="35"/>
  <c r="G96" i="35"/>
  <c r="G95" i="35"/>
  <c r="G94" i="35"/>
  <c r="H94" i="35" s="1"/>
  <c r="G93" i="35"/>
  <c r="G92" i="35"/>
  <c r="G91" i="35"/>
  <c r="G90" i="35"/>
  <c r="H90" i="35" s="1"/>
  <c r="G89" i="35"/>
  <c r="G88" i="35"/>
  <c r="H88" i="35" s="1"/>
  <c r="G87" i="35"/>
  <c r="G86" i="35"/>
  <c r="G85" i="35"/>
  <c r="G84" i="35"/>
  <c r="H84" i="35" s="1"/>
  <c r="G83" i="35"/>
  <c r="G82" i="35"/>
  <c r="H82" i="35" s="1"/>
  <c r="G81" i="35"/>
  <c r="G80" i="35"/>
  <c r="G79" i="35"/>
  <c r="G78" i="35"/>
  <c r="H78" i="35" s="1"/>
  <c r="G77" i="35"/>
  <c r="H77" i="35" s="1"/>
  <c r="G76" i="35"/>
  <c r="H76" i="35" s="1"/>
  <c r="G75" i="35"/>
  <c r="H75" i="35" s="1"/>
  <c r="G74" i="35"/>
  <c r="H74" i="35" s="1"/>
  <c r="G73" i="35"/>
  <c r="H73" i="35" s="1"/>
  <c r="G72" i="35"/>
  <c r="H72" i="35" s="1"/>
  <c r="G71" i="35"/>
  <c r="H71" i="35" s="1"/>
  <c r="G70" i="35"/>
  <c r="H70" i="35" s="1"/>
  <c r="G69" i="35"/>
  <c r="H69" i="35" s="1"/>
  <c r="G68" i="35"/>
  <c r="H68" i="35" s="1"/>
  <c r="G67" i="35"/>
  <c r="H67" i="35" s="1"/>
  <c r="G66" i="35"/>
  <c r="H66" i="35" s="1"/>
  <c r="G65" i="35"/>
  <c r="H65" i="35" s="1"/>
  <c r="G64" i="35"/>
  <c r="H64" i="35" s="1"/>
  <c r="G63" i="35"/>
  <c r="H63" i="35" s="1"/>
  <c r="G62" i="35"/>
  <c r="H62" i="35" s="1"/>
  <c r="G61" i="35"/>
  <c r="H61" i="35" s="1"/>
  <c r="G60" i="35"/>
  <c r="H60" i="35" s="1"/>
  <c r="G59" i="35"/>
  <c r="H59" i="35" s="1"/>
  <c r="G58" i="35"/>
  <c r="H58" i="35" s="1"/>
  <c r="G57" i="35"/>
  <c r="H57" i="35" s="1"/>
  <c r="G56" i="35"/>
  <c r="H56" i="35" s="1"/>
  <c r="G55" i="35"/>
  <c r="H55" i="35" s="1"/>
  <c r="G54" i="35"/>
  <c r="H54" i="35" s="1"/>
  <c r="G53" i="35"/>
  <c r="H53" i="35" s="1"/>
  <c r="G52" i="35"/>
  <c r="H52" i="35" s="1"/>
  <c r="G51" i="35"/>
  <c r="H51" i="35" s="1"/>
  <c r="G50" i="35"/>
  <c r="H50" i="35" s="1"/>
  <c r="G49" i="35"/>
  <c r="H49" i="35" s="1"/>
  <c r="G48" i="35"/>
  <c r="H48" i="35" s="1"/>
  <c r="G47" i="35"/>
  <c r="H47" i="35" s="1"/>
  <c r="G46" i="35"/>
  <c r="H46" i="35" s="1"/>
  <c r="G45" i="35"/>
  <c r="H45" i="35" s="1"/>
  <c r="G44" i="35"/>
  <c r="H44" i="35" s="1"/>
  <c r="G43" i="35"/>
  <c r="H43" i="35" s="1"/>
  <c r="G42" i="35"/>
  <c r="H42" i="35" s="1"/>
  <c r="G41" i="35"/>
  <c r="H41" i="35" s="1"/>
  <c r="G40" i="35"/>
  <c r="H40" i="35" s="1"/>
  <c r="G39" i="35"/>
  <c r="H39" i="35" s="1"/>
  <c r="I39" i="35" s="1"/>
  <c r="J39" i="35" s="1"/>
  <c r="G38" i="35"/>
  <c r="H38" i="35" s="1"/>
  <c r="G37" i="35"/>
  <c r="H37" i="35" s="1"/>
  <c r="G36" i="35"/>
  <c r="H36" i="35" s="1"/>
  <c r="G35" i="35"/>
  <c r="H35" i="35" s="1"/>
  <c r="G34" i="35"/>
  <c r="H34" i="35" s="1"/>
  <c r="G33" i="35"/>
  <c r="H33" i="35" s="1"/>
  <c r="G32" i="35"/>
  <c r="H32" i="35" s="1"/>
  <c r="G31" i="35"/>
  <c r="H31" i="35" s="1"/>
  <c r="G30" i="35"/>
  <c r="H30" i="35" s="1"/>
  <c r="G29" i="35"/>
  <c r="H29" i="35" s="1"/>
  <c r="G28" i="35"/>
  <c r="H28" i="35" s="1"/>
  <c r="G27" i="35"/>
  <c r="H27" i="35" s="1"/>
  <c r="G26" i="35"/>
  <c r="H26" i="35" s="1"/>
  <c r="G25" i="35"/>
  <c r="H25" i="35" s="1"/>
  <c r="G24" i="35"/>
  <c r="H24" i="35" s="1"/>
  <c r="G23" i="35"/>
  <c r="H23" i="35" s="1"/>
  <c r="G22" i="35"/>
  <c r="H22" i="35" s="1"/>
  <c r="G21" i="35"/>
  <c r="H21" i="35" s="1"/>
  <c r="G20" i="35"/>
  <c r="H20" i="35" s="1"/>
  <c r="G19" i="35"/>
  <c r="H19" i="35" s="1"/>
  <c r="G18" i="35"/>
  <c r="H18" i="35" s="1"/>
  <c r="G17" i="35"/>
  <c r="H17" i="35" s="1"/>
  <c r="G16" i="35"/>
  <c r="H16" i="35" s="1"/>
  <c r="G15" i="35"/>
  <c r="H15" i="35" s="1"/>
  <c r="G14" i="35"/>
  <c r="H14" i="35" s="1"/>
  <c r="G13" i="35"/>
  <c r="H13" i="35" s="1"/>
  <c r="G12" i="35"/>
  <c r="H12" i="35" s="1"/>
  <c r="G11" i="35"/>
  <c r="H11" i="35" s="1"/>
  <c r="G10" i="35"/>
  <c r="H10" i="35" s="1"/>
  <c r="I10" i="35" s="1"/>
  <c r="J10" i="35" s="1"/>
  <c r="G9" i="35"/>
  <c r="H9" i="35" s="1"/>
  <c r="G8" i="35"/>
  <c r="H8" i="35" s="1"/>
  <c r="G7" i="35"/>
  <c r="H7" i="35" s="1"/>
  <c r="G6" i="35"/>
  <c r="H6" i="35" s="1"/>
  <c r="G5" i="35"/>
  <c r="H5" i="35" s="1"/>
  <c r="G4" i="35"/>
  <c r="H4" i="35" s="1"/>
  <c r="G3" i="35"/>
  <c r="H3" i="35" s="1"/>
  <c r="G8" i="34"/>
  <c r="G7" i="34"/>
  <c r="G6" i="34"/>
  <c r="G5" i="34"/>
  <c r="G4" i="34"/>
  <c r="G3" i="34"/>
  <c r="I114" i="35" l="1"/>
  <c r="J114" i="35" s="1"/>
  <c r="H92" i="35"/>
  <c r="I92" i="35" s="1"/>
  <c r="J92" i="35" s="1"/>
  <c r="H96" i="35"/>
  <c r="I96" i="35" s="1"/>
  <c r="J96" i="35" s="1"/>
  <c r="H114" i="35"/>
  <c r="H173" i="35"/>
  <c r="I173" i="35" s="1"/>
  <c r="J173" i="35" s="1"/>
  <c r="H170" i="35"/>
  <c r="I170" i="35" s="1"/>
  <c r="J170" i="35" s="1"/>
  <c r="H174" i="35"/>
  <c r="I174" i="35" s="1"/>
  <c r="J174" i="35" s="1"/>
  <c r="I82" i="35"/>
  <c r="J82" i="35" s="1"/>
  <c r="I88" i="35"/>
  <c r="J88" i="35" s="1"/>
  <c r="I104" i="35"/>
  <c r="J104" i="35" s="1"/>
  <c r="H80" i="35"/>
  <c r="I80" i="35" s="1"/>
  <c r="J80" i="35" s="1"/>
  <c r="H98" i="35"/>
  <c r="I98" i="35" s="1"/>
  <c r="J98" i="35" s="1"/>
  <c r="H102" i="35"/>
  <c r="I102" i="35" s="1"/>
  <c r="J102" i="35" s="1"/>
  <c r="H112" i="35"/>
  <c r="I112" i="35" s="1"/>
  <c r="J112" i="35" s="1"/>
  <c r="I167" i="35"/>
  <c r="J167" i="35" s="1"/>
  <c r="H79" i="35"/>
  <c r="I79" i="35" s="1"/>
  <c r="J79" i="35" s="1"/>
  <c r="H81" i="35"/>
  <c r="I81" i="35" s="1"/>
  <c r="J81" i="35" s="1"/>
  <c r="H83" i="35"/>
  <c r="I83" i="35" s="1"/>
  <c r="J83" i="35" s="1"/>
  <c r="H85" i="35"/>
  <c r="I85" i="35" s="1"/>
  <c r="J85" i="35" s="1"/>
  <c r="H87" i="35"/>
  <c r="I87" i="35" s="1"/>
  <c r="J87" i="35" s="1"/>
  <c r="H89" i="35"/>
  <c r="I89" i="35" s="1"/>
  <c r="J89" i="35" s="1"/>
  <c r="H91" i="35"/>
  <c r="I91" i="35" s="1"/>
  <c r="J91" i="35" s="1"/>
  <c r="H93" i="35"/>
  <c r="I93" i="35" s="1"/>
  <c r="J93" i="35" s="1"/>
  <c r="H95" i="35"/>
  <c r="I95" i="35" s="1"/>
  <c r="J95" i="35" s="1"/>
  <c r="H97" i="35"/>
  <c r="I97" i="35" s="1"/>
  <c r="J97" i="35" s="1"/>
  <c r="H99" i="35"/>
  <c r="I99" i="35" s="1"/>
  <c r="J99" i="35" s="1"/>
  <c r="H101" i="35"/>
  <c r="I101" i="35" s="1"/>
  <c r="J101" i="35" s="1"/>
  <c r="H103" i="35"/>
  <c r="I103" i="35" s="1"/>
  <c r="J103" i="35" s="1"/>
  <c r="H105" i="35"/>
  <c r="I105" i="35" s="1"/>
  <c r="J105" i="35" s="1"/>
  <c r="H107" i="35"/>
  <c r="I107" i="35" s="1"/>
  <c r="J107" i="35" s="1"/>
  <c r="H109" i="35"/>
  <c r="I109" i="35" s="1"/>
  <c r="J109" i="35" s="1"/>
  <c r="H111" i="35"/>
  <c r="I111" i="35" s="1"/>
  <c r="J111" i="35" s="1"/>
  <c r="H113" i="35"/>
  <c r="I113" i="35" s="1"/>
  <c r="J113" i="35" s="1"/>
  <c r="H115" i="35"/>
  <c r="I115" i="35" s="1"/>
  <c r="J115" i="35" s="1"/>
  <c r="H117" i="35"/>
  <c r="I117" i="35" s="1"/>
  <c r="J117" i="35" s="1"/>
  <c r="H171" i="35"/>
  <c r="I171" i="35" s="1"/>
  <c r="J171" i="35" s="1"/>
  <c r="H175" i="35"/>
  <c r="I175" i="35" s="1"/>
  <c r="J175" i="35" s="1"/>
  <c r="I84" i="35"/>
  <c r="J84" i="35" s="1"/>
  <c r="I90" i="35"/>
  <c r="J90" i="35" s="1"/>
  <c r="I100" i="35"/>
  <c r="J100" i="35" s="1"/>
  <c r="I110" i="35"/>
  <c r="J110" i="35" s="1"/>
  <c r="I116" i="35"/>
  <c r="J116" i="35" s="1"/>
  <c r="I118" i="35"/>
  <c r="J118" i="35" s="1"/>
  <c r="H172" i="35"/>
  <c r="I172" i="35"/>
  <c r="J172" i="35" s="1"/>
  <c r="H176" i="35"/>
  <c r="I176" i="35"/>
  <c r="J176" i="35" s="1"/>
  <c r="I94" i="35"/>
  <c r="J94" i="35" s="1"/>
  <c r="I108" i="35"/>
  <c r="J108" i="35" s="1"/>
  <c r="H86" i="35"/>
  <c r="I86" i="35" s="1"/>
  <c r="J86" i="35" s="1"/>
  <c r="H106" i="35"/>
  <c r="I106" i="35" s="1"/>
  <c r="J106" i="35" s="1"/>
  <c r="I169" i="35"/>
  <c r="J169" i="35" s="1"/>
  <c r="I121" i="37"/>
  <c r="J121" i="37" s="1"/>
  <c r="I123" i="37"/>
  <c r="J123" i="37" s="1"/>
  <c r="I125" i="37"/>
  <c r="J125" i="37" s="1"/>
  <c r="I127" i="37"/>
  <c r="J127" i="37" s="1"/>
  <c r="I129" i="37"/>
  <c r="J129" i="37" s="1"/>
  <c r="I131" i="37"/>
  <c r="J131" i="37" s="1"/>
  <c r="I133" i="37"/>
  <c r="J133" i="37" s="1"/>
  <c r="I135" i="37"/>
  <c r="J135" i="37" s="1"/>
  <c r="I137" i="37"/>
  <c r="J137" i="37" s="1"/>
  <c r="I139" i="37"/>
  <c r="J139" i="37" s="1"/>
  <c r="I141" i="37"/>
  <c r="J141" i="37" s="1"/>
  <c r="I361" i="39"/>
  <c r="J361" i="39" s="1"/>
  <c r="H361" i="39"/>
  <c r="I364" i="39"/>
  <c r="J364" i="39" s="1"/>
  <c r="H369" i="39"/>
  <c r="I369" i="39" s="1"/>
  <c r="J369" i="39" s="1"/>
  <c r="I372" i="39"/>
  <c r="J372" i="39" s="1"/>
  <c r="I177" i="35"/>
  <c r="J177" i="35" s="1"/>
  <c r="I179" i="35"/>
  <c r="J179" i="35" s="1"/>
  <c r="I181" i="35"/>
  <c r="J181" i="35" s="1"/>
  <c r="I183" i="35"/>
  <c r="J183" i="35" s="1"/>
  <c r="I106" i="36"/>
  <c r="J106" i="36" s="1"/>
  <c r="I108" i="36"/>
  <c r="J108" i="36" s="1"/>
  <c r="I110" i="36"/>
  <c r="J110" i="36" s="1"/>
  <c r="I112" i="36"/>
  <c r="J112" i="36" s="1"/>
  <c r="I114" i="36"/>
  <c r="J114" i="36" s="1"/>
  <c r="I116" i="36"/>
  <c r="J116" i="36" s="1"/>
  <c r="I118" i="36"/>
  <c r="J118" i="36" s="1"/>
  <c r="I120" i="36"/>
  <c r="J120" i="36" s="1"/>
  <c r="I122" i="36"/>
  <c r="J122" i="36" s="1"/>
  <c r="I73" i="39"/>
  <c r="J73" i="39" s="1"/>
  <c r="I75" i="39"/>
  <c r="J75" i="39" s="1"/>
  <c r="I77" i="39"/>
  <c r="J77" i="39" s="1"/>
  <c r="I79" i="39"/>
  <c r="J79" i="39" s="1"/>
  <c r="I81" i="39"/>
  <c r="J81" i="39" s="1"/>
  <c r="I83" i="39"/>
  <c r="J83" i="39" s="1"/>
  <c r="I85" i="39"/>
  <c r="J85" i="39" s="1"/>
  <c r="I87" i="39"/>
  <c r="J87" i="39" s="1"/>
  <c r="I89" i="39"/>
  <c r="J89" i="39" s="1"/>
  <c r="I91" i="39"/>
  <c r="J91" i="39" s="1"/>
  <c r="I93" i="39"/>
  <c r="J93" i="39" s="1"/>
  <c r="I95" i="39"/>
  <c r="J95" i="39" s="1"/>
  <c r="I97" i="39"/>
  <c r="J97" i="39" s="1"/>
  <c r="I99" i="39"/>
  <c r="J99" i="39" s="1"/>
  <c r="I101" i="39"/>
  <c r="J101" i="39" s="1"/>
  <c r="I103" i="39"/>
  <c r="J103" i="39" s="1"/>
  <c r="I105" i="39"/>
  <c r="J105" i="39" s="1"/>
  <c r="I107" i="39"/>
  <c r="J107" i="39" s="1"/>
  <c r="I109" i="39"/>
  <c r="J109" i="39" s="1"/>
  <c r="I111" i="39"/>
  <c r="J111" i="39" s="1"/>
  <c r="I113" i="39"/>
  <c r="J113" i="39" s="1"/>
  <c r="I115" i="39"/>
  <c r="J115" i="39" s="1"/>
  <c r="I117" i="39"/>
  <c r="J117" i="39" s="1"/>
  <c r="I119" i="39"/>
  <c r="J119" i="39" s="1"/>
  <c r="I168" i="39"/>
  <c r="J168" i="39" s="1"/>
  <c r="I170" i="39"/>
  <c r="J170" i="39" s="1"/>
  <c r="I172" i="39"/>
  <c r="J172" i="39" s="1"/>
  <c r="I174" i="39"/>
  <c r="J174" i="39" s="1"/>
  <c r="I176" i="39"/>
  <c r="J176" i="39" s="1"/>
  <c r="I178" i="39"/>
  <c r="J178" i="39" s="1"/>
  <c r="I180" i="39"/>
  <c r="J180" i="39" s="1"/>
  <c r="I182" i="39"/>
  <c r="J182" i="39" s="1"/>
  <c r="I184" i="39"/>
  <c r="J184" i="39" s="1"/>
  <c r="I186" i="39"/>
  <c r="J186" i="39" s="1"/>
  <c r="I188" i="39"/>
  <c r="J188" i="39" s="1"/>
  <c r="I190" i="39"/>
  <c r="J190" i="39" s="1"/>
  <c r="I192" i="39"/>
  <c r="J192" i="39" s="1"/>
  <c r="I194" i="39"/>
  <c r="J194" i="39" s="1"/>
  <c r="I196" i="39"/>
  <c r="J196" i="39" s="1"/>
  <c r="I198" i="39"/>
  <c r="J198" i="39" s="1"/>
  <c r="I200" i="39"/>
  <c r="J200" i="39" s="1"/>
  <c r="I202" i="39"/>
  <c r="J202" i="39" s="1"/>
  <c r="I204" i="39"/>
  <c r="J204" i="39" s="1"/>
  <c r="I206" i="39"/>
  <c r="J206" i="39" s="1"/>
  <c r="I208" i="39"/>
  <c r="J208" i="39" s="1"/>
  <c r="I210" i="39"/>
  <c r="J210" i="39" s="1"/>
  <c r="I212" i="39"/>
  <c r="J212" i="39" s="1"/>
  <c r="I214" i="39"/>
  <c r="J214" i="39" s="1"/>
  <c r="I216" i="39"/>
  <c r="J216" i="39" s="1"/>
  <c r="I218" i="39"/>
  <c r="J218" i="39" s="1"/>
  <c r="I220" i="39"/>
  <c r="J220" i="39" s="1"/>
  <c r="I222" i="39"/>
  <c r="J222" i="39" s="1"/>
  <c r="I224" i="39"/>
  <c r="J224" i="39" s="1"/>
  <c r="I226" i="39"/>
  <c r="J226" i="39" s="1"/>
  <c r="I228" i="39"/>
  <c r="J228" i="39" s="1"/>
  <c r="I230" i="39"/>
  <c r="J230" i="39" s="1"/>
  <c r="I232" i="39"/>
  <c r="J232" i="39" s="1"/>
  <c r="I351" i="39"/>
  <c r="J351" i="39" s="1"/>
  <c r="I353" i="39"/>
  <c r="J353" i="39" s="1"/>
  <c r="I355" i="39"/>
  <c r="J355" i="39" s="1"/>
  <c r="I357" i="39"/>
  <c r="J357" i="39" s="1"/>
  <c r="I359" i="39"/>
  <c r="J359" i="39" s="1"/>
  <c r="H359" i="39"/>
  <c r="I362" i="39"/>
  <c r="J362" i="39" s="1"/>
  <c r="H367" i="39"/>
  <c r="I367" i="39" s="1"/>
  <c r="J367" i="39" s="1"/>
  <c r="I370" i="39"/>
  <c r="J370" i="39" s="1"/>
  <c r="H416" i="39"/>
  <c r="I416" i="39"/>
  <c r="J416" i="39" s="1"/>
  <c r="H420" i="39"/>
  <c r="I420" i="39"/>
  <c r="J420" i="39" s="1"/>
  <c r="H424" i="39"/>
  <c r="I424" i="39"/>
  <c r="J424" i="39" s="1"/>
  <c r="H428" i="39"/>
  <c r="I428" i="39"/>
  <c r="J428" i="39" s="1"/>
  <c r="H432" i="39"/>
  <c r="I432" i="39"/>
  <c r="J432" i="39" s="1"/>
  <c r="H436" i="39"/>
  <c r="I436" i="39"/>
  <c r="J436" i="39" s="1"/>
  <c r="H440" i="39"/>
  <c r="I440" i="39"/>
  <c r="J440" i="39" s="1"/>
  <c r="H444" i="39"/>
  <c r="I444" i="39"/>
  <c r="J444" i="39" s="1"/>
  <c r="H448" i="39"/>
  <c r="I448" i="39"/>
  <c r="J448" i="39" s="1"/>
  <c r="H452" i="39"/>
  <c r="I452" i="39"/>
  <c r="J452" i="39" s="1"/>
  <c r="H456" i="39"/>
  <c r="I456" i="39"/>
  <c r="J456" i="39" s="1"/>
  <c r="H460" i="39"/>
  <c r="I460" i="39"/>
  <c r="J460" i="39" s="1"/>
  <c r="H464" i="39"/>
  <c r="I464" i="39"/>
  <c r="J464" i="39" s="1"/>
  <c r="I360" i="39"/>
  <c r="J360" i="39" s="1"/>
  <c r="I365" i="39"/>
  <c r="J365" i="39" s="1"/>
  <c r="H365" i="39"/>
  <c r="I368" i="39"/>
  <c r="J368" i="39" s="1"/>
  <c r="H373" i="39"/>
  <c r="I373" i="39" s="1"/>
  <c r="J373" i="39" s="1"/>
  <c r="I178" i="35"/>
  <c r="J178" i="35" s="1"/>
  <c r="I180" i="35"/>
  <c r="J180" i="35" s="1"/>
  <c r="I182" i="35"/>
  <c r="J182" i="35" s="1"/>
  <c r="I184" i="35"/>
  <c r="J184" i="35" s="1"/>
  <c r="I105" i="36"/>
  <c r="J105" i="36" s="1"/>
  <c r="I107" i="36"/>
  <c r="J107" i="36" s="1"/>
  <c r="I109" i="36"/>
  <c r="J109" i="36" s="1"/>
  <c r="I111" i="36"/>
  <c r="J111" i="36" s="1"/>
  <c r="I113" i="36"/>
  <c r="J113" i="36" s="1"/>
  <c r="I115" i="36"/>
  <c r="J115" i="36" s="1"/>
  <c r="I117" i="36"/>
  <c r="J117" i="36" s="1"/>
  <c r="I119" i="36"/>
  <c r="J119" i="36" s="1"/>
  <c r="I121" i="36"/>
  <c r="J121" i="36" s="1"/>
  <c r="I123" i="36"/>
  <c r="J123" i="36" s="1"/>
  <c r="I72" i="39"/>
  <c r="J72" i="39" s="1"/>
  <c r="I74" i="39"/>
  <c r="J74" i="39" s="1"/>
  <c r="I76" i="39"/>
  <c r="J76" i="39" s="1"/>
  <c r="I78" i="39"/>
  <c r="J78" i="39" s="1"/>
  <c r="I80" i="39"/>
  <c r="J80" i="39" s="1"/>
  <c r="I82" i="39"/>
  <c r="J82" i="39" s="1"/>
  <c r="I84" i="39"/>
  <c r="J84" i="39" s="1"/>
  <c r="I86" i="39"/>
  <c r="J86" i="39" s="1"/>
  <c r="I88" i="39"/>
  <c r="J88" i="39" s="1"/>
  <c r="I90" i="39"/>
  <c r="J90" i="39" s="1"/>
  <c r="I92" i="39"/>
  <c r="J92" i="39" s="1"/>
  <c r="I94" i="39"/>
  <c r="J94" i="39" s="1"/>
  <c r="I96" i="39"/>
  <c r="J96" i="39" s="1"/>
  <c r="I98" i="39"/>
  <c r="J98" i="39" s="1"/>
  <c r="I100" i="39"/>
  <c r="J100" i="39" s="1"/>
  <c r="I102" i="39"/>
  <c r="J102" i="39" s="1"/>
  <c r="I104" i="39"/>
  <c r="J104" i="39" s="1"/>
  <c r="I106" i="39"/>
  <c r="J106" i="39" s="1"/>
  <c r="I108" i="39"/>
  <c r="J108" i="39" s="1"/>
  <c r="I110" i="39"/>
  <c r="J110" i="39" s="1"/>
  <c r="I112" i="39"/>
  <c r="J112" i="39" s="1"/>
  <c r="I114" i="39"/>
  <c r="J114" i="39" s="1"/>
  <c r="I116" i="39"/>
  <c r="J116" i="39" s="1"/>
  <c r="I118" i="39"/>
  <c r="J118" i="39" s="1"/>
  <c r="I167" i="39"/>
  <c r="J167" i="39" s="1"/>
  <c r="I169" i="39"/>
  <c r="J169" i="39" s="1"/>
  <c r="I171" i="39"/>
  <c r="J171" i="39" s="1"/>
  <c r="I173" i="39"/>
  <c r="J173" i="39" s="1"/>
  <c r="I175" i="39"/>
  <c r="J175" i="39" s="1"/>
  <c r="I177" i="39"/>
  <c r="J177" i="39" s="1"/>
  <c r="I179" i="39"/>
  <c r="J179" i="39" s="1"/>
  <c r="I181" i="39"/>
  <c r="J181" i="39" s="1"/>
  <c r="I183" i="39"/>
  <c r="J183" i="39" s="1"/>
  <c r="I185" i="39"/>
  <c r="J185" i="39" s="1"/>
  <c r="I187" i="39"/>
  <c r="J187" i="39" s="1"/>
  <c r="I189" i="39"/>
  <c r="J189" i="39" s="1"/>
  <c r="I191" i="39"/>
  <c r="J191" i="39" s="1"/>
  <c r="I193" i="39"/>
  <c r="J193" i="39" s="1"/>
  <c r="I352" i="39"/>
  <c r="J352" i="39" s="1"/>
  <c r="I354" i="39"/>
  <c r="J354" i="39" s="1"/>
  <c r="I356" i="39"/>
  <c r="J356" i="39" s="1"/>
  <c r="I358" i="39"/>
  <c r="J358" i="39" s="1"/>
  <c r="H363" i="39"/>
  <c r="I363" i="39" s="1"/>
  <c r="J363" i="39" s="1"/>
  <c r="I366" i="39"/>
  <c r="J366" i="39" s="1"/>
  <c r="I371" i="39"/>
  <c r="J371" i="39" s="1"/>
  <c r="H371" i="39"/>
  <c r="I374" i="39"/>
  <c r="J374" i="39" s="1"/>
  <c r="H418" i="39"/>
  <c r="I418" i="39"/>
  <c r="J418" i="39" s="1"/>
  <c r="H422" i="39"/>
  <c r="I422" i="39"/>
  <c r="J422" i="39" s="1"/>
  <c r="H426" i="39"/>
  <c r="I426" i="39"/>
  <c r="J426" i="39" s="1"/>
  <c r="H430" i="39"/>
  <c r="I430" i="39"/>
  <c r="J430" i="39" s="1"/>
  <c r="H434" i="39"/>
  <c r="I434" i="39"/>
  <c r="J434" i="39" s="1"/>
  <c r="H438" i="39"/>
  <c r="I438" i="39"/>
  <c r="J438" i="39" s="1"/>
  <c r="H442" i="39"/>
  <c r="I442" i="39"/>
  <c r="J442" i="39" s="1"/>
  <c r="H446" i="39"/>
  <c r="I446" i="39"/>
  <c r="J446" i="39" s="1"/>
  <c r="H450" i="39"/>
  <c r="I450" i="39"/>
  <c r="J450" i="39" s="1"/>
  <c r="H454" i="39"/>
  <c r="I454" i="39"/>
  <c r="J454" i="39" s="1"/>
  <c r="H458" i="39"/>
  <c r="I458" i="39"/>
  <c r="J458" i="39" s="1"/>
  <c r="H462" i="39"/>
  <c r="I462" i="39"/>
  <c r="J462" i="39" s="1"/>
  <c r="I376" i="39"/>
  <c r="J376" i="39" s="1"/>
  <c r="I378" i="39"/>
  <c r="J378" i="39" s="1"/>
  <c r="I380" i="39"/>
  <c r="J380" i="39" s="1"/>
  <c r="I382" i="39"/>
  <c r="J382" i="39" s="1"/>
  <c r="I384" i="39"/>
  <c r="J384" i="39" s="1"/>
  <c r="I386" i="39"/>
  <c r="J386" i="39" s="1"/>
  <c r="I388" i="39"/>
  <c r="J388" i="39" s="1"/>
  <c r="I390" i="39"/>
  <c r="J390" i="39" s="1"/>
  <c r="I392" i="39"/>
  <c r="J392" i="39" s="1"/>
  <c r="I394" i="39"/>
  <c r="J394" i="39" s="1"/>
  <c r="I396" i="39"/>
  <c r="J396" i="39" s="1"/>
  <c r="I398" i="39"/>
  <c r="J398" i="39" s="1"/>
  <c r="I400" i="39"/>
  <c r="J400" i="39" s="1"/>
  <c r="I417" i="39"/>
  <c r="J417" i="39" s="1"/>
  <c r="I419" i="39"/>
  <c r="J419" i="39" s="1"/>
  <c r="I421" i="39"/>
  <c r="J421" i="39" s="1"/>
  <c r="I423" i="39"/>
  <c r="J423" i="39" s="1"/>
  <c r="I425" i="39"/>
  <c r="J425" i="39" s="1"/>
  <c r="I427" i="39"/>
  <c r="J427" i="39" s="1"/>
  <c r="I429" i="39"/>
  <c r="J429" i="39" s="1"/>
  <c r="I431" i="39"/>
  <c r="J431" i="39" s="1"/>
  <c r="I433" i="39"/>
  <c r="J433" i="39" s="1"/>
  <c r="I435" i="39"/>
  <c r="J435" i="39" s="1"/>
  <c r="I437" i="39"/>
  <c r="J437" i="39" s="1"/>
  <c r="I439" i="39"/>
  <c r="J439" i="39" s="1"/>
  <c r="I441" i="39"/>
  <c r="J441" i="39" s="1"/>
  <c r="I443" i="39"/>
  <c r="J443" i="39" s="1"/>
  <c r="I445" i="39"/>
  <c r="J445" i="39" s="1"/>
  <c r="I447" i="39"/>
  <c r="J447" i="39" s="1"/>
  <c r="I449" i="39"/>
  <c r="J449" i="39" s="1"/>
  <c r="I451" i="39"/>
  <c r="J451" i="39" s="1"/>
  <c r="I453" i="39"/>
  <c r="J453" i="39" s="1"/>
  <c r="I455" i="39"/>
  <c r="J455" i="39" s="1"/>
  <c r="I457" i="39"/>
  <c r="J457" i="39" s="1"/>
  <c r="I459" i="39"/>
  <c r="J459" i="39" s="1"/>
  <c r="I461" i="39"/>
  <c r="J461" i="39" s="1"/>
  <c r="I463" i="39"/>
  <c r="J463" i="39" s="1"/>
  <c r="I379" i="39"/>
  <c r="J379" i="39" s="1"/>
  <c r="I383" i="39"/>
  <c r="J383" i="39" s="1"/>
  <c r="I387" i="39"/>
  <c r="J387" i="39" s="1"/>
  <c r="I389" i="39"/>
  <c r="J389" i="39" s="1"/>
  <c r="I391" i="39"/>
  <c r="J391" i="39" s="1"/>
  <c r="I393" i="39"/>
  <c r="J393" i="39" s="1"/>
  <c r="I395" i="39"/>
  <c r="J395" i="39" s="1"/>
  <c r="I397" i="39"/>
  <c r="J397" i="39" s="1"/>
  <c r="I399" i="39"/>
  <c r="J399" i="39" s="1"/>
  <c r="H375" i="39"/>
  <c r="I375" i="39" s="1"/>
  <c r="J375" i="39" s="1"/>
  <c r="H377" i="39"/>
  <c r="I377" i="39" s="1"/>
  <c r="J377" i="39" s="1"/>
  <c r="H379" i="39"/>
  <c r="H381" i="39"/>
  <c r="I381" i="39" s="1"/>
  <c r="J381" i="39" s="1"/>
  <c r="H383" i="39"/>
  <c r="H385" i="39"/>
  <c r="I385" i="39" s="1"/>
  <c r="J385" i="39" s="1"/>
  <c r="H387" i="39"/>
  <c r="H3" i="43"/>
  <c r="I3" i="43" s="1"/>
  <c r="J3" i="43" s="1"/>
  <c r="H4" i="43"/>
  <c r="I4" i="43" s="1"/>
  <c r="J4" i="43" s="1"/>
  <c r="H5" i="43"/>
  <c r="I5" i="43" s="1"/>
  <c r="J5" i="43" s="1"/>
  <c r="H6" i="43"/>
  <c r="I6" i="43" s="1"/>
  <c r="J6" i="43" s="1"/>
  <c r="H7" i="43"/>
  <c r="I7" i="43" s="1"/>
  <c r="J7" i="43" s="1"/>
  <c r="H8" i="43"/>
  <c r="I8" i="43" s="1"/>
  <c r="J8" i="43" s="1"/>
  <c r="H9" i="43"/>
  <c r="I9" i="43" s="1"/>
  <c r="J9" i="43" s="1"/>
  <c r="H10" i="43"/>
  <c r="I10" i="43" s="1"/>
  <c r="J10" i="43" s="1"/>
  <c r="H11" i="43"/>
  <c r="I11" i="43" s="1"/>
  <c r="J11" i="43" s="1"/>
  <c r="H12" i="43"/>
  <c r="I12" i="43" s="1"/>
  <c r="J12" i="43" s="1"/>
  <c r="H13" i="43"/>
  <c r="I13" i="43" s="1"/>
  <c r="J13" i="43" s="1"/>
  <c r="H14" i="43"/>
  <c r="I14" i="43" s="1"/>
  <c r="J14" i="43" s="1"/>
  <c r="H15" i="43"/>
  <c r="I15" i="43" s="1"/>
  <c r="J15" i="43" s="1"/>
  <c r="H16" i="43"/>
  <c r="I16" i="43" s="1"/>
  <c r="J16" i="43" s="1"/>
  <c r="H17" i="43"/>
  <c r="I17" i="43" s="1"/>
  <c r="J17" i="43" s="1"/>
  <c r="H18" i="43"/>
  <c r="I18" i="43" s="1"/>
  <c r="J18" i="43" s="1"/>
  <c r="H19" i="43"/>
  <c r="I19" i="43" s="1"/>
  <c r="J19" i="43" s="1"/>
  <c r="H20" i="43"/>
  <c r="I20" i="43" s="1"/>
  <c r="J20" i="43" s="1"/>
  <c r="H21" i="43"/>
  <c r="I21" i="43" s="1"/>
  <c r="J21" i="43" s="1"/>
  <c r="H22" i="43"/>
  <c r="I22" i="43" s="1"/>
  <c r="J22" i="43" s="1"/>
  <c r="H23" i="43"/>
  <c r="I23" i="43" s="1"/>
  <c r="J23" i="43" s="1"/>
  <c r="H24" i="43"/>
  <c r="I24" i="43" s="1"/>
  <c r="J24" i="43" s="1"/>
  <c r="H25" i="43"/>
  <c r="I25" i="43" s="1"/>
  <c r="J25" i="43" s="1"/>
  <c r="H26" i="43"/>
  <c r="I26" i="43" s="1"/>
  <c r="J26" i="43" s="1"/>
  <c r="H27" i="43"/>
  <c r="I27" i="43" s="1"/>
  <c r="J27" i="43" s="1"/>
  <c r="H28" i="43"/>
  <c r="I28" i="43" s="1"/>
  <c r="J28" i="43" s="1"/>
  <c r="H29" i="43"/>
  <c r="I29" i="43" s="1"/>
  <c r="J29" i="43" s="1"/>
  <c r="H30" i="43"/>
  <c r="I30" i="43" s="1"/>
  <c r="J30" i="43" s="1"/>
  <c r="H31" i="43"/>
  <c r="I31" i="43" s="1"/>
  <c r="J31" i="43" s="1"/>
  <c r="H32" i="43"/>
  <c r="I32" i="43" s="1"/>
  <c r="J32" i="43" s="1"/>
  <c r="H33" i="43"/>
  <c r="I33" i="43" s="1"/>
  <c r="J33" i="43" s="1"/>
  <c r="H34" i="43"/>
  <c r="I34" i="43" s="1"/>
  <c r="J34" i="43" s="1"/>
  <c r="H35" i="43"/>
  <c r="I35" i="43" s="1"/>
  <c r="J35" i="43" s="1"/>
  <c r="H36" i="43"/>
  <c r="I36" i="43" s="1"/>
  <c r="J36" i="43" s="1"/>
  <c r="H37" i="43"/>
  <c r="I37" i="43" s="1"/>
  <c r="J37" i="43" s="1"/>
  <c r="H38" i="43"/>
  <c r="I38" i="43" s="1"/>
  <c r="J38" i="43" s="1"/>
  <c r="H39" i="43"/>
  <c r="I39" i="43" s="1"/>
  <c r="J39" i="43" s="1"/>
  <c r="H40" i="43"/>
  <c r="I40" i="43" s="1"/>
  <c r="J40" i="43" s="1"/>
  <c r="H41" i="43"/>
  <c r="I41" i="43" s="1"/>
  <c r="J41" i="43" s="1"/>
  <c r="H42" i="43"/>
  <c r="I42" i="43" s="1"/>
  <c r="J42" i="43" s="1"/>
  <c r="H43" i="43"/>
  <c r="I43" i="43" s="1"/>
  <c r="J43" i="43" s="1"/>
  <c r="H44" i="43"/>
  <c r="I44" i="43" s="1"/>
  <c r="J44" i="43" s="1"/>
  <c r="H45" i="43"/>
  <c r="I45" i="43" s="1"/>
  <c r="J45" i="43" s="1"/>
  <c r="H46" i="43"/>
  <c r="I46" i="43" s="1"/>
  <c r="J46" i="43" s="1"/>
  <c r="H47" i="43"/>
  <c r="I47" i="43" s="1"/>
  <c r="J47" i="43" s="1"/>
  <c r="I48" i="43"/>
  <c r="J48" i="43" s="1"/>
  <c r="I49" i="43"/>
  <c r="J49" i="43" s="1"/>
  <c r="I50" i="43"/>
  <c r="J50" i="43" s="1"/>
  <c r="I51" i="43"/>
  <c r="J51" i="43" s="1"/>
  <c r="I52" i="43"/>
  <c r="J52" i="43" s="1"/>
  <c r="I53" i="43"/>
  <c r="J53" i="43" s="1"/>
  <c r="I54" i="43"/>
  <c r="J54" i="43" s="1"/>
  <c r="I55" i="43"/>
  <c r="J55" i="43" s="1"/>
  <c r="I56" i="43"/>
  <c r="J56" i="43" s="1"/>
  <c r="I57" i="43"/>
  <c r="J57" i="43" s="1"/>
  <c r="I58" i="43"/>
  <c r="J58" i="43" s="1"/>
  <c r="I59" i="43"/>
  <c r="J59" i="43" s="1"/>
  <c r="I60" i="43"/>
  <c r="J60" i="43" s="1"/>
  <c r="I61" i="43"/>
  <c r="J61" i="43" s="1"/>
  <c r="I62" i="43"/>
  <c r="J62" i="43" s="1"/>
  <c r="I63" i="43"/>
  <c r="J63" i="43" s="1"/>
  <c r="I64" i="43"/>
  <c r="J64" i="43" s="1"/>
  <c r="I65" i="43"/>
  <c r="J65" i="43" s="1"/>
  <c r="I66" i="43"/>
  <c r="J66" i="43" s="1"/>
  <c r="I67" i="43"/>
  <c r="J67" i="43" s="1"/>
  <c r="I68" i="43"/>
  <c r="J68" i="43" s="1"/>
  <c r="I69" i="43"/>
  <c r="J69" i="43" s="1"/>
  <c r="I70" i="43"/>
  <c r="J70" i="43" s="1"/>
  <c r="I71" i="43"/>
  <c r="J71" i="43" s="1"/>
  <c r="I72" i="43"/>
  <c r="J72" i="43" s="1"/>
  <c r="I73" i="43"/>
  <c r="J73" i="43" s="1"/>
  <c r="I74" i="43"/>
  <c r="J74" i="43" s="1"/>
  <c r="I75" i="43"/>
  <c r="J75" i="43" s="1"/>
  <c r="I76" i="43"/>
  <c r="J76" i="43" s="1"/>
  <c r="I77" i="43"/>
  <c r="J77" i="43" s="1"/>
  <c r="I78" i="43"/>
  <c r="J78" i="43" s="1"/>
  <c r="I79" i="43"/>
  <c r="J79" i="43" s="1"/>
  <c r="I80" i="43"/>
  <c r="J80" i="43" s="1"/>
  <c r="I81" i="43"/>
  <c r="J81" i="43" s="1"/>
  <c r="I82" i="43"/>
  <c r="J82" i="43" s="1"/>
  <c r="I83" i="43"/>
  <c r="J83" i="43" s="1"/>
  <c r="I84" i="43"/>
  <c r="J84" i="43" s="1"/>
  <c r="I85" i="43"/>
  <c r="J85" i="43" s="1"/>
  <c r="I86" i="43"/>
  <c r="J86" i="43" s="1"/>
  <c r="I87" i="43"/>
  <c r="J87" i="43" s="1"/>
  <c r="I88" i="43"/>
  <c r="J88" i="43" s="1"/>
  <c r="I89" i="43"/>
  <c r="J89" i="43" s="1"/>
  <c r="I90" i="43"/>
  <c r="J90" i="43" s="1"/>
  <c r="I91" i="43"/>
  <c r="J91" i="43" s="1"/>
  <c r="I92" i="43"/>
  <c r="J92" i="43" s="1"/>
  <c r="I93" i="43"/>
  <c r="J93" i="43" s="1"/>
  <c r="I94" i="43"/>
  <c r="J94" i="43" s="1"/>
  <c r="I95" i="43"/>
  <c r="J95" i="43" s="1"/>
  <c r="I96" i="43"/>
  <c r="J96" i="43" s="1"/>
  <c r="I97" i="43"/>
  <c r="J97" i="43" s="1"/>
  <c r="I98" i="43"/>
  <c r="J98" i="43" s="1"/>
  <c r="I99" i="43"/>
  <c r="J99" i="43" s="1"/>
  <c r="I100" i="43"/>
  <c r="J100" i="43" s="1"/>
  <c r="I101" i="43"/>
  <c r="J101" i="43" s="1"/>
  <c r="I102" i="43"/>
  <c r="J102" i="43" s="1"/>
  <c r="I103" i="43"/>
  <c r="J103" i="43" s="1"/>
  <c r="I104" i="43"/>
  <c r="J104" i="43" s="1"/>
  <c r="I105" i="43"/>
  <c r="J105" i="43" s="1"/>
  <c r="I106" i="43"/>
  <c r="J106" i="43" s="1"/>
  <c r="I107" i="43"/>
  <c r="J107" i="43" s="1"/>
  <c r="I108" i="43"/>
  <c r="J108" i="43" s="1"/>
  <c r="I109" i="43"/>
  <c r="J109" i="43" s="1"/>
  <c r="I110" i="43"/>
  <c r="J110" i="43" s="1"/>
  <c r="I111" i="43"/>
  <c r="J111" i="43" s="1"/>
  <c r="I112" i="43"/>
  <c r="J112" i="43" s="1"/>
  <c r="I113" i="43"/>
  <c r="J113" i="43" s="1"/>
  <c r="I114" i="43"/>
  <c r="J114" i="43" s="1"/>
  <c r="I115" i="43"/>
  <c r="J115" i="43" s="1"/>
  <c r="I116" i="43"/>
  <c r="J116" i="43" s="1"/>
  <c r="I117" i="43"/>
  <c r="J117" i="43" s="1"/>
  <c r="I118" i="43"/>
  <c r="J118" i="43" s="1"/>
  <c r="I119" i="43"/>
  <c r="J119" i="43" s="1"/>
  <c r="I120" i="43"/>
  <c r="J120" i="43" s="1"/>
  <c r="I121" i="43"/>
  <c r="J121" i="43" s="1"/>
  <c r="I122" i="43"/>
  <c r="J122" i="43" s="1"/>
  <c r="I123" i="43"/>
  <c r="J123" i="43" s="1"/>
  <c r="I124" i="43"/>
  <c r="J124" i="43" s="1"/>
  <c r="I125" i="43"/>
  <c r="J125" i="43" s="1"/>
  <c r="I126" i="43"/>
  <c r="J126" i="43" s="1"/>
  <c r="I127" i="43"/>
  <c r="J127" i="43" s="1"/>
  <c r="I128" i="43"/>
  <c r="J128" i="43" s="1"/>
  <c r="I129" i="43"/>
  <c r="J129" i="43" s="1"/>
  <c r="I130" i="43"/>
  <c r="J130" i="43" s="1"/>
  <c r="I131" i="43"/>
  <c r="J131" i="43" s="1"/>
  <c r="I132" i="43"/>
  <c r="J132" i="43" s="1"/>
  <c r="I133" i="43"/>
  <c r="J133" i="43" s="1"/>
  <c r="I134" i="43"/>
  <c r="J134" i="43" s="1"/>
  <c r="I135" i="43"/>
  <c r="J135" i="43" s="1"/>
  <c r="I136" i="43"/>
  <c r="J136" i="43" s="1"/>
  <c r="I137" i="43"/>
  <c r="J137" i="43" s="1"/>
  <c r="I138" i="43"/>
  <c r="J138" i="43" s="1"/>
  <c r="I139" i="43"/>
  <c r="J139" i="43" s="1"/>
  <c r="I140" i="43"/>
  <c r="J140" i="43" s="1"/>
  <c r="I141" i="43"/>
  <c r="J141" i="43" s="1"/>
  <c r="I142" i="43"/>
  <c r="J142" i="43" s="1"/>
  <c r="I143" i="43"/>
  <c r="J143" i="43" s="1"/>
  <c r="I144" i="43"/>
  <c r="J144" i="43" s="1"/>
  <c r="I145" i="43"/>
  <c r="J145" i="43" s="1"/>
  <c r="I146" i="43"/>
  <c r="J146" i="43" s="1"/>
  <c r="I147" i="43"/>
  <c r="J147" i="43" s="1"/>
  <c r="I148" i="43"/>
  <c r="J148" i="43" s="1"/>
  <c r="I149" i="43"/>
  <c r="J149" i="43" s="1"/>
  <c r="I150" i="43"/>
  <c r="J150" i="43" s="1"/>
  <c r="I151" i="43"/>
  <c r="J151" i="43" s="1"/>
  <c r="I152" i="43"/>
  <c r="J152" i="43" s="1"/>
  <c r="I153" i="43"/>
  <c r="J153" i="43" s="1"/>
  <c r="I154" i="43"/>
  <c r="J154" i="43" s="1"/>
  <c r="I155" i="43"/>
  <c r="J155" i="43" s="1"/>
  <c r="I156" i="43"/>
  <c r="J156" i="43" s="1"/>
  <c r="I157" i="43"/>
  <c r="J157" i="43" s="1"/>
  <c r="I158" i="43"/>
  <c r="J158" i="43" s="1"/>
  <c r="I159" i="43"/>
  <c r="J159" i="43" s="1"/>
  <c r="I160" i="43"/>
  <c r="J160" i="43" s="1"/>
  <c r="I161" i="43"/>
  <c r="J161" i="43" s="1"/>
  <c r="H162" i="43"/>
  <c r="I162" i="43" s="1"/>
  <c r="J162" i="43" s="1"/>
  <c r="H163" i="43"/>
  <c r="I163" i="43" s="1"/>
  <c r="J163" i="43" s="1"/>
  <c r="H164" i="43"/>
  <c r="I164" i="43" s="1"/>
  <c r="J164" i="43" s="1"/>
  <c r="H165" i="43"/>
  <c r="I165" i="43" s="1"/>
  <c r="J165" i="43" s="1"/>
  <c r="H166" i="43"/>
  <c r="I166" i="43" s="1"/>
  <c r="J166" i="43" s="1"/>
  <c r="H167" i="43"/>
  <c r="I167" i="43" s="1"/>
  <c r="J167" i="43" s="1"/>
  <c r="H168" i="43"/>
  <c r="I168" i="43" s="1"/>
  <c r="J168" i="43" s="1"/>
  <c r="H169" i="43"/>
  <c r="I169" i="43" s="1"/>
  <c r="J169" i="43" s="1"/>
  <c r="H170" i="43"/>
  <c r="I170" i="43" s="1"/>
  <c r="J170" i="43" s="1"/>
  <c r="H171" i="43"/>
  <c r="I171" i="43" s="1"/>
  <c r="J171" i="43" s="1"/>
  <c r="H172" i="43"/>
  <c r="I172" i="43" s="1"/>
  <c r="J172" i="43" s="1"/>
  <c r="H173" i="43"/>
  <c r="I173" i="43" s="1"/>
  <c r="J173" i="43" s="1"/>
  <c r="H174" i="43"/>
  <c r="I174" i="43" s="1"/>
  <c r="J174" i="43" s="1"/>
  <c r="H175" i="43"/>
  <c r="I175" i="43" s="1"/>
  <c r="J175" i="43" s="1"/>
  <c r="I5" i="42"/>
  <c r="J5" i="42" s="1"/>
  <c r="I6" i="42"/>
  <c r="J6" i="42" s="1"/>
  <c r="I7" i="42"/>
  <c r="J7" i="42" s="1"/>
  <c r="I8" i="42"/>
  <c r="J8" i="42" s="1"/>
  <c r="I9" i="42"/>
  <c r="J9" i="42" s="1"/>
  <c r="I10" i="42"/>
  <c r="J10" i="42" s="1"/>
  <c r="I11" i="42"/>
  <c r="J11" i="42" s="1"/>
  <c r="I12" i="42"/>
  <c r="J12" i="42" s="1"/>
  <c r="I13" i="42"/>
  <c r="J13" i="42" s="1"/>
  <c r="I14" i="42"/>
  <c r="J14" i="42" s="1"/>
  <c r="I15" i="42"/>
  <c r="J15" i="42" s="1"/>
  <c r="I16" i="42"/>
  <c r="J16" i="42" s="1"/>
  <c r="I17" i="42"/>
  <c r="J17" i="42" s="1"/>
  <c r="I18" i="42"/>
  <c r="J18" i="42" s="1"/>
  <c r="I19" i="42"/>
  <c r="J19" i="42" s="1"/>
  <c r="I20" i="42"/>
  <c r="J20" i="42" s="1"/>
  <c r="I21" i="42"/>
  <c r="J21" i="42" s="1"/>
  <c r="I22" i="42"/>
  <c r="J22" i="42" s="1"/>
  <c r="I23" i="42"/>
  <c r="J23" i="42" s="1"/>
  <c r="I24" i="42"/>
  <c r="J24" i="42" s="1"/>
  <c r="I25" i="42"/>
  <c r="J25" i="42" s="1"/>
  <c r="I26" i="42"/>
  <c r="J26" i="42" s="1"/>
  <c r="I27" i="42"/>
  <c r="J27" i="42" s="1"/>
  <c r="I28" i="42"/>
  <c r="J28" i="42" s="1"/>
  <c r="I29" i="42"/>
  <c r="J29" i="42" s="1"/>
  <c r="I30" i="42"/>
  <c r="J30" i="42" s="1"/>
  <c r="I31" i="42"/>
  <c r="J31" i="42" s="1"/>
  <c r="I32" i="42"/>
  <c r="J32" i="42" s="1"/>
  <c r="I33" i="42"/>
  <c r="J33" i="42" s="1"/>
  <c r="I34" i="42"/>
  <c r="J34" i="42" s="1"/>
  <c r="I35" i="42"/>
  <c r="J35" i="42" s="1"/>
  <c r="I36" i="42"/>
  <c r="J36" i="42" s="1"/>
  <c r="I37" i="42"/>
  <c r="J37" i="42" s="1"/>
  <c r="I38" i="42"/>
  <c r="J38" i="42" s="1"/>
  <c r="I39" i="42"/>
  <c r="J39" i="42" s="1"/>
  <c r="I40" i="42"/>
  <c r="J40" i="42" s="1"/>
  <c r="I41" i="42"/>
  <c r="J41" i="42" s="1"/>
  <c r="I42" i="42"/>
  <c r="J42" i="42" s="1"/>
  <c r="I43" i="42"/>
  <c r="J43" i="42" s="1"/>
  <c r="I44" i="42"/>
  <c r="J44" i="42" s="1"/>
  <c r="I45" i="42"/>
  <c r="J45" i="42" s="1"/>
  <c r="I46" i="42"/>
  <c r="J46" i="42" s="1"/>
  <c r="I47" i="42"/>
  <c r="J47" i="42" s="1"/>
  <c r="I48" i="42"/>
  <c r="J48" i="42" s="1"/>
  <c r="I49" i="42"/>
  <c r="J49" i="42" s="1"/>
  <c r="I50" i="42"/>
  <c r="J50" i="42" s="1"/>
  <c r="I51" i="42"/>
  <c r="J51" i="42" s="1"/>
  <c r="I52" i="42"/>
  <c r="J52" i="42" s="1"/>
  <c r="I53" i="42"/>
  <c r="J53" i="42" s="1"/>
  <c r="I54" i="42"/>
  <c r="J54" i="42" s="1"/>
  <c r="I55" i="42"/>
  <c r="J55" i="42" s="1"/>
  <c r="I56" i="42"/>
  <c r="J56" i="42" s="1"/>
  <c r="I57" i="42"/>
  <c r="J57" i="42" s="1"/>
  <c r="I58" i="42"/>
  <c r="J58" i="42" s="1"/>
  <c r="I59" i="42"/>
  <c r="J59" i="42" s="1"/>
  <c r="I60" i="42"/>
  <c r="J60" i="42" s="1"/>
  <c r="I61" i="42"/>
  <c r="J61" i="42" s="1"/>
  <c r="I62" i="42"/>
  <c r="J62" i="42" s="1"/>
  <c r="I63" i="42"/>
  <c r="J63" i="42" s="1"/>
  <c r="I64" i="42"/>
  <c r="J64" i="42" s="1"/>
  <c r="I65" i="42"/>
  <c r="J65" i="42" s="1"/>
  <c r="I66" i="42"/>
  <c r="J66" i="42" s="1"/>
  <c r="I67" i="42"/>
  <c r="J67" i="42" s="1"/>
  <c r="I68" i="42"/>
  <c r="J68" i="42" s="1"/>
  <c r="I69" i="42"/>
  <c r="J69" i="42" s="1"/>
  <c r="I70" i="42"/>
  <c r="J70" i="42" s="1"/>
  <c r="I71" i="42"/>
  <c r="J71" i="42" s="1"/>
  <c r="I72" i="42"/>
  <c r="J72" i="42" s="1"/>
  <c r="I73" i="42"/>
  <c r="J73" i="42" s="1"/>
  <c r="I74" i="42"/>
  <c r="J74" i="42" s="1"/>
  <c r="I75" i="42"/>
  <c r="J75" i="42" s="1"/>
  <c r="I76" i="42"/>
  <c r="J76" i="42" s="1"/>
  <c r="I77" i="42"/>
  <c r="J77" i="42" s="1"/>
  <c r="I78" i="42"/>
  <c r="J78" i="42" s="1"/>
  <c r="I79" i="42"/>
  <c r="J79" i="42" s="1"/>
  <c r="I80" i="42"/>
  <c r="J80" i="42" s="1"/>
  <c r="I81" i="42"/>
  <c r="J81" i="42" s="1"/>
  <c r="I82" i="42"/>
  <c r="J82" i="42" s="1"/>
  <c r="I83" i="42"/>
  <c r="J83" i="42" s="1"/>
  <c r="I84" i="42"/>
  <c r="J84" i="42" s="1"/>
  <c r="I85" i="42"/>
  <c r="J85" i="42" s="1"/>
  <c r="I86" i="42"/>
  <c r="J86" i="42" s="1"/>
  <c r="I87" i="42"/>
  <c r="J87" i="42" s="1"/>
  <c r="I88" i="42"/>
  <c r="J88" i="42" s="1"/>
  <c r="I89" i="42"/>
  <c r="J89" i="42" s="1"/>
  <c r="I90" i="42"/>
  <c r="J90" i="42" s="1"/>
  <c r="I91" i="42"/>
  <c r="J91" i="42" s="1"/>
  <c r="I92" i="42"/>
  <c r="J92" i="42" s="1"/>
  <c r="I93" i="42"/>
  <c r="J93" i="42" s="1"/>
  <c r="I94" i="42"/>
  <c r="J94" i="42" s="1"/>
  <c r="I95" i="42"/>
  <c r="J95" i="42" s="1"/>
  <c r="I96" i="42"/>
  <c r="J96" i="42" s="1"/>
  <c r="I97" i="42"/>
  <c r="J97" i="42" s="1"/>
  <c r="I98" i="42"/>
  <c r="J98" i="42" s="1"/>
  <c r="I99" i="42"/>
  <c r="J99" i="42" s="1"/>
  <c r="I100" i="42"/>
  <c r="J100" i="42" s="1"/>
  <c r="I101" i="42"/>
  <c r="J101" i="42" s="1"/>
  <c r="I102" i="42"/>
  <c r="J102" i="42" s="1"/>
  <c r="H103" i="42"/>
  <c r="I103" i="42" s="1"/>
  <c r="J103" i="42" s="1"/>
  <c r="H104" i="42"/>
  <c r="I104" i="42" s="1"/>
  <c r="J104" i="42" s="1"/>
  <c r="H105" i="42"/>
  <c r="I105" i="42" s="1"/>
  <c r="J105" i="42" s="1"/>
  <c r="H106" i="42"/>
  <c r="I106" i="42" s="1"/>
  <c r="J106" i="42" s="1"/>
  <c r="H107" i="42"/>
  <c r="I107" i="42" s="1"/>
  <c r="J107" i="42" s="1"/>
  <c r="H108" i="42"/>
  <c r="I108" i="42" s="1"/>
  <c r="J108" i="42" s="1"/>
  <c r="H109" i="42"/>
  <c r="I109" i="42" s="1"/>
  <c r="J109" i="42" s="1"/>
  <c r="H110" i="42"/>
  <c r="I110" i="42" s="1"/>
  <c r="J110" i="42" s="1"/>
  <c r="H111" i="42"/>
  <c r="I111" i="42" s="1"/>
  <c r="J111" i="42" s="1"/>
  <c r="H112" i="42"/>
  <c r="I112" i="42" s="1"/>
  <c r="J112" i="42" s="1"/>
  <c r="H113" i="42"/>
  <c r="I113" i="42" s="1"/>
  <c r="J113" i="42" s="1"/>
  <c r="H114" i="42"/>
  <c r="I114" i="42" s="1"/>
  <c r="J114" i="42" s="1"/>
  <c r="H115" i="42"/>
  <c r="I115" i="42" s="1"/>
  <c r="J115" i="42" s="1"/>
  <c r="H116" i="42"/>
  <c r="I116" i="42" s="1"/>
  <c r="J116" i="42" s="1"/>
  <c r="H117" i="42"/>
  <c r="I117" i="42" s="1"/>
  <c r="J117" i="42" s="1"/>
  <c r="H118" i="42"/>
  <c r="I118" i="42" s="1"/>
  <c r="J118" i="42" s="1"/>
  <c r="H119" i="42"/>
  <c r="I119" i="42" s="1"/>
  <c r="J119" i="42" s="1"/>
  <c r="H120" i="42"/>
  <c r="I120" i="42" s="1"/>
  <c r="J120" i="42" s="1"/>
  <c r="H121" i="42"/>
  <c r="I121" i="42" s="1"/>
  <c r="J121" i="42" s="1"/>
  <c r="H122" i="42"/>
  <c r="I122" i="42" s="1"/>
  <c r="J122" i="42" s="1"/>
  <c r="H123" i="42"/>
  <c r="I123" i="42" s="1"/>
  <c r="J123" i="42" s="1"/>
  <c r="H124" i="42"/>
  <c r="I124" i="42" s="1"/>
  <c r="J124" i="42" s="1"/>
  <c r="H125" i="42"/>
  <c r="I125" i="42" s="1"/>
  <c r="J125" i="42" s="1"/>
  <c r="H126" i="42"/>
  <c r="I126" i="42" s="1"/>
  <c r="J126" i="42" s="1"/>
  <c r="H127" i="42"/>
  <c r="I127" i="42" s="1"/>
  <c r="J127" i="42" s="1"/>
  <c r="H128" i="42"/>
  <c r="I128" i="42" s="1"/>
  <c r="J128" i="42" s="1"/>
  <c r="H129" i="42"/>
  <c r="I129" i="42" s="1"/>
  <c r="J129" i="42" s="1"/>
  <c r="H130" i="42"/>
  <c r="I130" i="42" s="1"/>
  <c r="J130" i="42" s="1"/>
  <c r="H131" i="42"/>
  <c r="I131" i="42" s="1"/>
  <c r="J131" i="42" s="1"/>
  <c r="H132" i="42"/>
  <c r="I132" i="42" s="1"/>
  <c r="J132" i="42" s="1"/>
  <c r="H133" i="42"/>
  <c r="I133" i="42" s="1"/>
  <c r="J133" i="42" s="1"/>
  <c r="H134" i="42"/>
  <c r="I134" i="42" s="1"/>
  <c r="J134" i="42" s="1"/>
  <c r="H135" i="42"/>
  <c r="I135" i="42" s="1"/>
  <c r="J135" i="42" s="1"/>
  <c r="H136" i="42"/>
  <c r="I136" i="42" s="1"/>
  <c r="J136" i="42" s="1"/>
  <c r="H137" i="42"/>
  <c r="I137" i="42" s="1"/>
  <c r="J137" i="42" s="1"/>
  <c r="H138" i="42"/>
  <c r="I138" i="42" s="1"/>
  <c r="J138" i="42" s="1"/>
  <c r="H139" i="42"/>
  <c r="I139" i="42" s="1"/>
  <c r="J139" i="42" s="1"/>
  <c r="H140" i="42"/>
  <c r="I140" i="42" s="1"/>
  <c r="J140" i="42" s="1"/>
  <c r="H141" i="42"/>
  <c r="I141" i="42" s="1"/>
  <c r="J141" i="42" s="1"/>
  <c r="H142" i="42"/>
  <c r="I142" i="42" s="1"/>
  <c r="J142" i="42" s="1"/>
  <c r="H143" i="42"/>
  <c r="I143" i="42" s="1"/>
  <c r="J143" i="42" s="1"/>
  <c r="H144" i="42"/>
  <c r="I144" i="42" s="1"/>
  <c r="J144" i="42" s="1"/>
  <c r="H145" i="42"/>
  <c r="I145" i="42" s="1"/>
  <c r="J145" i="42" s="1"/>
  <c r="H146" i="42"/>
  <c r="I146" i="42" s="1"/>
  <c r="J146" i="42" s="1"/>
  <c r="H147" i="42"/>
  <c r="I147" i="42" s="1"/>
  <c r="J147" i="42" s="1"/>
  <c r="H148" i="42"/>
  <c r="I148" i="42" s="1"/>
  <c r="J148" i="42" s="1"/>
  <c r="H149" i="42"/>
  <c r="I149" i="42" s="1"/>
  <c r="J149" i="42" s="1"/>
  <c r="H150" i="42"/>
  <c r="I150" i="42" s="1"/>
  <c r="J150" i="42" s="1"/>
  <c r="H151" i="42"/>
  <c r="I151" i="42" s="1"/>
  <c r="J151" i="42" s="1"/>
  <c r="H152" i="42"/>
  <c r="I152" i="42" s="1"/>
  <c r="J152" i="42" s="1"/>
  <c r="H153" i="42"/>
  <c r="I153" i="42" s="1"/>
  <c r="J153" i="42" s="1"/>
  <c r="H154" i="42"/>
  <c r="I154" i="42" s="1"/>
  <c r="J154" i="42" s="1"/>
  <c r="H155" i="42"/>
  <c r="I155" i="42" s="1"/>
  <c r="J155" i="42" s="1"/>
  <c r="H156" i="42"/>
  <c r="I156" i="42" s="1"/>
  <c r="J156" i="42" s="1"/>
  <c r="H157" i="42"/>
  <c r="I157" i="42" s="1"/>
  <c r="J157" i="42" s="1"/>
  <c r="H158" i="42"/>
  <c r="I158" i="42" s="1"/>
  <c r="J158" i="42" s="1"/>
  <c r="H159" i="42"/>
  <c r="I159" i="42" s="1"/>
  <c r="J159" i="42" s="1"/>
  <c r="I3" i="42"/>
  <c r="J3" i="42" s="1"/>
  <c r="I4" i="42"/>
  <c r="J4" i="42" s="1"/>
  <c r="H5" i="39"/>
  <c r="I5" i="39" s="1"/>
  <c r="J5" i="39" s="1"/>
  <c r="I120" i="39"/>
  <c r="J120" i="39" s="1"/>
  <c r="I121" i="39"/>
  <c r="J121" i="39" s="1"/>
  <c r="I122" i="39"/>
  <c r="J122" i="39" s="1"/>
  <c r="I123" i="39"/>
  <c r="J123" i="39" s="1"/>
  <c r="I124" i="39"/>
  <c r="J124" i="39" s="1"/>
  <c r="I125" i="39"/>
  <c r="J125" i="39" s="1"/>
  <c r="I126" i="39"/>
  <c r="J126" i="39" s="1"/>
  <c r="I127" i="39"/>
  <c r="J127" i="39" s="1"/>
  <c r="I128" i="39"/>
  <c r="J128" i="39" s="1"/>
  <c r="I129" i="39"/>
  <c r="J129" i="39" s="1"/>
  <c r="I130" i="39"/>
  <c r="J130" i="39" s="1"/>
  <c r="I131" i="39"/>
  <c r="J131" i="39" s="1"/>
  <c r="I132" i="39"/>
  <c r="J132" i="39" s="1"/>
  <c r="I133" i="39"/>
  <c r="J133" i="39" s="1"/>
  <c r="I134" i="39"/>
  <c r="J134" i="39" s="1"/>
  <c r="I135" i="39"/>
  <c r="J135" i="39" s="1"/>
  <c r="I136" i="39"/>
  <c r="J136" i="39" s="1"/>
  <c r="I137" i="39"/>
  <c r="J137" i="39" s="1"/>
  <c r="I138" i="39"/>
  <c r="J138" i="39" s="1"/>
  <c r="I139" i="39"/>
  <c r="J139" i="39" s="1"/>
  <c r="I140" i="39"/>
  <c r="J140" i="39" s="1"/>
  <c r="I141" i="39"/>
  <c r="J141" i="39" s="1"/>
  <c r="I142" i="39"/>
  <c r="J142" i="39" s="1"/>
  <c r="I143" i="39"/>
  <c r="J143" i="39" s="1"/>
  <c r="I144" i="39"/>
  <c r="J144" i="39" s="1"/>
  <c r="I145" i="39"/>
  <c r="J145" i="39" s="1"/>
  <c r="I146" i="39"/>
  <c r="J146" i="39" s="1"/>
  <c r="I147" i="39"/>
  <c r="J147" i="39" s="1"/>
  <c r="I148" i="39"/>
  <c r="J148" i="39" s="1"/>
  <c r="I149" i="39"/>
  <c r="J149" i="39" s="1"/>
  <c r="I150" i="39"/>
  <c r="J150" i="39" s="1"/>
  <c r="I151" i="39"/>
  <c r="J151" i="39" s="1"/>
  <c r="I152" i="39"/>
  <c r="J152" i="39" s="1"/>
  <c r="I153" i="39"/>
  <c r="J153" i="39" s="1"/>
  <c r="I154" i="39"/>
  <c r="J154" i="39" s="1"/>
  <c r="I155" i="39"/>
  <c r="J155" i="39" s="1"/>
  <c r="I156" i="39"/>
  <c r="J156" i="39" s="1"/>
  <c r="I157" i="39"/>
  <c r="J157" i="39" s="1"/>
  <c r="I158" i="39"/>
  <c r="J158" i="39" s="1"/>
  <c r="I159" i="39"/>
  <c r="J159" i="39" s="1"/>
  <c r="I160" i="39"/>
  <c r="J160" i="39" s="1"/>
  <c r="I161" i="39"/>
  <c r="J161" i="39" s="1"/>
  <c r="I162" i="39"/>
  <c r="J162" i="39" s="1"/>
  <c r="I163" i="39"/>
  <c r="J163" i="39" s="1"/>
  <c r="I164" i="39"/>
  <c r="J164" i="39" s="1"/>
  <c r="I165" i="39"/>
  <c r="J165" i="39" s="1"/>
  <c r="H466" i="39"/>
  <c r="I466" i="39"/>
  <c r="J466" i="39" s="1"/>
  <c r="H468" i="39"/>
  <c r="I468" i="39"/>
  <c r="J468" i="39" s="1"/>
  <c r="H470" i="39"/>
  <c r="I470" i="39"/>
  <c r="J470" i="39" s="1"/>
  <c r="H472" i="39"/>
  <c r="I472" i="39"/>
  <c r="J472" i="39" s="1"/>
  <c r="H474" i="39"/>
  <c r="I474" i="39"/>
  <c r="J474" i="39" s="1"/>
  <c r="H476" i="39"/>
  <c r="I476" i="39"/>
  <c r="J476" i="39" s="1"/>
  <c r="H478" i="39"/>
  <c r="I478" i="39"/>
  <c r="J478" i="39" s="1"/>
  <c r="H480" i="39"/>
  <c r="I480" i="39"/>
  <c r="J480" i="39" s="1"/>
  <c r="H482" i="39"/>
  <c r="I482" i="39"/>
  <c r="J482" i="39" s="1"/>
  <c r="H484" i="39"/>
  <c r="I484" i="39"/>
  <c r="J484" i="39" s="1"/>
  <c r="H486" i="39"/>
  <c r="I486" i="39"/>
  <c r="J486" i="39" s="1"/>
  <c r="H488" i="39"/>
  <c r="I488" i="39"/>
  <c r="J488" i="39" s="1"/>
  <c r="H490" i="39"/>
  <c r="I490" i="39"/>
  <c r="J490" i="39" s="1"/>
  <c r="H492" i="39"/>
  <c r="I492" i="39"/>
  <c r="J492" i="39" s="1"/>
  <c r="H494" i="39"/>
  <c r="I494" i="39"/>
  <c r="J494" i="39" s="1"/>
  <c r="H496" i="39"/>
  <c r="I496" i="39"/>
  <c r="J496" i="39" s="1"/>
  <c r="H498" i="39"/>
  <c r="I498" i="39"/>
  <c r="J498" i="39" s="1"/>
  <c r="H500" i="39"/>
  <c r="I500" i="39"/>
  <c r="J500" i="39" s="1"/>
  <c r="H502" i="39"/>
  <c r="I502" i="39"/>
  <c r="J502" i="39" s="1"/>
  <c r="H504" i="39"/>
  <c r="I504" i="39"/>
  <c r="J504" i="39" s="1"/>
  <c r="H506" i="39"/>
  <c r="I506" i="39"/>
  <c r="J506" i="39" s="1"/>
  <c r="H508" i="39"/>
  <c r="I508" i="39"/>
  <c r="J508" i="39" s="1"/>
  <c r="H510" i="39"/>
  <c r="I510" i="39"/>
  <c r="J510" i="39" s="1"/>
  <c r="I234" i="39"/>
  <c r="J234" i="39" s="1"/>
  <c r="I235" i="39"/>
  <c r="J235" i="39" s="1"/>
  <c r="I236" i="39"/>
  <c r="J236" i="39" s="1"/>
  <c r="I237" i="39"/>
  <c r="J237" i="39" s="1"/>
  <c r="I238" i="39"/>
  <c r="J238" i="39" s="1"/>
  <c r="I239" i="39"/>
  <c r="J239" i="39" s="1"/>
  <c r="I240" i="39"/>
  <c r="J240" i="39" s="1"/>
  <c r="I241" i="39"/>
  <c r="J241" i="39" s="1"/>
  <c r="I242" i="39"/>
  <c r="J242" i="39" s="1"/>
  <c r="I243" i="39"/>
  <c r="J243" i="39" s="1"/>
  <c r="I244" i="39"/>
  <c r="J244" i="39" s="1"/>
  <c r="I245" i="39"/>
  <c r="J245" i="39" s="1"/>
  <c r="I246" i="39"/>
  <c r="J246" i="39" s="1"/>
  <c r="I247" i="39"/>
  <c r="J247" i="39" s="1"/>
  <c r="I248" i="39"/>
  <c r="J248" i="39" s="1"/>
  <c r="I249" i="39"/>
  <c r="J249" i="39" s="1"/>
  <c r="I250" i="39"/>
  <c r="J250" i="39" s="1"/>
  <c r="I251" i="39"/>
  <c r="J251" i="39" s="1"/>
  <c r="I252" i="39"/>
  <c r="J252" i="39" s="1"/>
  <c r="I253" i="39"/>
  <c r="J253" i="39" s="1"/>
  <c r="I254" i="39"/>
  <c r="J254" i="39" s="1"/>
  <c r="I255" i="39"/>
  <c r="J255" i="39" s="1"/>
  <c r="I256" i="39"/>
  <c r="J256" i="39" s="1"/>
  <c r="I257" i="39"/>
  <c r="J257" i="39" s="1"/>
  <c r="I258" i="39"/>
  <c r="J258" i="39" s="1"/>
  <c r="I259" i="39"/>
  <c r="J259" i="39" s="1"/>
  <c r="I260" i="39"/>
  <c r="J260" i="39" s="1"/>
  <c r="I261" i="39"/>
  <c r="J261" i="39" s="1"/>
  <c r="I262" i="39"/>
  <c r="J262" i="39" s="1"/>
  <c r="I263" i="39"/>
  <c r="J263" i="39" s="1"/>
  <c r="I264" i="39"/>
  <c r="J264" i="39" s="1"/>
  <c r="I265" i="39"/>
  <c r="J265" i="39" s="1"/>
  <c r="I266" i="39"/>
  <c r="J266" i="39" s="1"/>
  <c r="I267" i="39"/>
  <c r="J267" i="39" s="1"/>
  <c r="I268" i="39"/>
  <c r="J268" i="39" s="1"/>
  <c r="I269" i="39"/>
  <c r="J269" i="39" s="1"/>
  <c r="I270" i="39"/>
  <c r="J270" i="39" s="1"/>
  <c r="I271" i="39"/>
  <c r="J271" i="39" s="1"/>
  <c r="I272" i="39"/>
  <c r="J272" i="39" s="1"/>
  <c r="I273" i="39"/>
  <c r="J273" i="39" s="1"/>
  <c r="I274" i="39"/>
  <c r="J274" i="39" s="1"/>
  <c r="I275" i="39"/>
  <c r="J275" i="39" s="1"/>
  <c r="I276" i="39"/>
  <c r="J276" i="39" s="1"/>
  <c r="I277" i="39"/>
  <c r="J277" i="39" s="1"/>
  <c r="I278" i="39"/>
  <c r="J278" i="39" s="1"/>
  <c r="I279" i="39"/>
  <c r="J279" i="39" s="1"/>
  <c r="I280" i="39"/>
  <c r="J280" i="39" s="1"/>
  <c r="I281" i="39"/>
  <c r="J281" i="39" s="1"/>
  <c r="I282" i="39"/>
  <c r="J282" i="39" s="1"/>
  <c r="I283" i="39"/>
  <c r="J283" i="39" s="1"/>
  <c r="I284" i="39"/>
  <c r="J284" i="39" s="1"/>
  <c r="I285" i="39"/>
  <c r="J285" i="39" s="1"/>
  <c r="I286" i="39"/>
  <c r="J286" i="39" s="1"/>
  <c r="I287" i="39"/>
  <c r="J287" i="39" s="1"/>
  <c r="I288" i="39"/>
  <c r="J288" i="39" s="1"/>
  <c r="I289" i="39"/>
  <c r="J289" i="39" s="1"/>
  <c r="I290" i="39"/>
  <c r="J290" i="39" s="1"/>
  <c r="I291" i="39"/>
  <c r="J291" i="39" s="1"/>
  <c r="I292" i="39"/>
  <c r="J292" i="39" s="1"/>
  <c r="I293" i="39"/>
  <c r="J293" i="39" s="1"/>
  <c r="I294" i="39"/>
  <c r="J294" i="39" s="1"/>
  <c r="I295" i="39"/>
  <c r="J295" i="39" s="1"/>
  <c r="I296" i="39"/>
  <c r="J296" i="39" s="1"/>
  <c r="I297" i="39"/>
  <c r="J297" i="39" s="1"/>
  <c r="I298" i="39"/>
  <c r="J298" i="39" s="1"/>
  <c r="I299" i="39"/>
  <c r="J299" i="39" s="1"/>
  <c r="I300" i="39"/>
  <c r="J300" i="39" s="1"/>
  <c r="I301" i="39"/>
  <c r="J301" i="39" s="1"/>
  <c r="I302" i="39"/>
  <c r="J302" i="39" s="1"/>
  <c r="I303" i="39"/>
  <c r="J303" i="39" s="1"/>
  <c r="I304" i="39"/>
  <c r="J304" i="39" s="1"/>
  <c r="I305" i="39"/>
  <c r="J305" i="39" s="1"/>
  <c r="I306" i="39"/>
  <c r="J306" i="39" s="1"/>
  <c r="I307" i="39"/>
  <c r="J307" i="39" s="1"/>
  <c r="I308" i="39"/>
  <c r="J308" i="39" s="1"/>
  <c r="I309" i="39"/>
  <c r="J309" i="39" s="1"/>
  <c r="I310" i="39"/>
  <c r="J310" i="39" s="1"/>
  <c r="I311" i="39"/>
  <c r="J311" i="39" s="1"/>
  <c r="I312" i="39"/>
  <c r="J312" i="39" s="1"/>
  <c r="I313" i="39"/>
  <c r="J313" i="39" s="1"/>
  <c r="I314" i="39"/>
  <c r="J314" i="39" s="1"/>
  <c r="I315" i="39"/>
  <c r="J315" i="39" s="1"/>
  <c r="I316" i="39"/>
  <c r="J316" i="39" s="1"/>
  <c r="I317" i="39"/>
  <c r="J317" i="39" s="1"/>
  <c r="I318" i="39"/>
  <c r="J318" i="39" s="1"/>
  <c r="I319" i="39"/>
  <c r="J319" i="39" s="1"/>
  <c r="I320" i="39"/>
  <c r="J320" i="39" s="1"/>
  <c r="I321" i="39"/>
  <c r="J321" i="39" s="1"/>
  <c r="I322" i="39"/>
  <c r="J322" i="39" s="1"/>
  <c r="I323" i="39"/>
  <c r="J323" i="39" s="1"/>
  <c r="I324" i="39"/>
  <c r="J324" i="39" s="1"/>
  <c r="I325" i="39"/>
  <c r="J325" i="39" s="1"/>
  <c r="I326" i="39"/>
  <c r="J326" i="39" s="1"/>
  <c r="I327" i="39"/>
  <c r="J327" i="39" s="1"/>
  <c r="I328" i="39"/>
  <c r="J328" i="39" s="1"/>
  <c r="I329" i="39"/>
  <c r="J329" i="39" s="1"/>
  <c r="I330" i="39"/>
  <c r="J330" i="39" s="1"/>
  <c r="I331" i="39"/>
  <c r="J331" i="39" s="1"/>
  <c r="I332" i="39"/>
  <c r="J332" i="39" s="1"/>
  <c r="I333" i="39"/>
  <c r="J333" i="39" s="1"/>
  <c r="I334" i="39"/>
  <c r="J334" i="39" s="1"/>
  <c r="I335" i="39"/>
  <c r="J335" i="39" s="1"/>
  <c r="I336" i="39"/>
  <c r="J336" i="39" s="1"/>
  <c r="I337" i="39"/>
  <c r="J337" i="39" s="1"/>
  <c r="I338" i="39"/>
  <c r="J338" i="39" s="1"/>
  <c r="I339" i="39"/>
  <c r="J339" i="39" s="1"/>
  <c r="I340" i="39"/>
  <c r="J340" i="39" s="1"/>
  <c r="I341" i="39"/>
  <c r="J341" i="39" s="1"/>
  <c r="I342" i="39"/>
  <c r="J342" i="39" s="1"/>
  <c r="I343" i="39"/>
  <c r="J343" i="39" s="1"/>
  <c r="I344" i="39"/>
  <c r="J344" i="39" s="1"/>
  <c r="I345" i="39"/>
  <c r="J345" i="39" s="1"/>
  <c r="I346" i="39"/>
  <c r="J346" i="39" s="1"/>
  <c r="I347" i="39"/>
  <c r="J347" i="39" s="1"/>
  <c r="I348" i="39"/>
  <c r="J348" i="39" s="1"/>
  <c r="I349" i="39"/>
  <c r="J349" i="39" s="1"/>
  <c r="I350" i="39"/>
  <c r="J350" i="39" s="1"/>
  <c r="I401" i="39"/>
  <c r="J401" i="39" s="1"/>
  <c r="I402" i="39"/>
  <c r="J402" i="39" s="1"/>
  <c r="I403" i="39"/>
  <c r="J403" i="39" s="1"/>
  <c r="I404" i="39"/>
  <c r="J404" i="39" s="1"/>
  <c r="I405" i="39"/>
  <c r="J405" i="39" s="1"/>
  <c r="I406" i="39"/>
  <c r="J406" i="39" s="1"/>
  <c r="I407" i="39"/>
  <c r="J407" i="39" s="1"/>
  <c r="I408" i="39"/>
  <c r="J408" i="39" s="1"/>
  <c r="I409" i="39"/>
  <c r="J409" i="39" s="1"/>
  <c r="I410" i="39"/>
  <c r="J410" i="39" s="1"/>
  <c r="I411" i="39"/>
  <c r="J411" i="39" s="1"/>
  <c r="I412" i="39"/>
  <c r="J412" i="39" s="1"/>
  <c r="I413" i="39"/>
  <c r="J413" i="39" s="1"/>
  <c r="I414" i="39"/>
  <c r="J414" i="39" s="1"/>
  <c r="I415" i="39"/>
  <c r="J415" i="39" s="1"/>
  <c r="H465" i="39"/>
  <c r="I465" i="39"/>
  <c r="J465" i="39" s="1"/>
  <c r="H467" i="39"/>
  <c r="I467" i="39"/>
  <c r="J467" i="39" s="1"/>
  <c r="H469" i="39"/>
  <c r="I469" i="39"/>
  <c r="J469" i="39" s="1"/>
  <c r="H471" i="39"/>
  <c r="I471" i="39"/>
  <c r="J471" i="39" s="1"/>
  <c r="H473" i="39"/>
  <c r="I473" i="39"/>
  <c r="J473" i="39" s="1"/>
  <c r="H475" i="39"/>
  <c r="I475" i="39"/>
  <c r="J475" i="39" s="1"/>
  <c r="H477" i="39"/>
  <c r="I477" i="39"/>
  <c r="J477" i="39" s="1"/>
  <c r="H479" i="39"/>
  <c r="I479" i="39"/>
  <c r="J479" i="39" s="1"/>
  <c r="H481" i="39"/>
  <c r="I481" i="39"/>
  <c r="J481" i="39" s="1"/>
  <c r="H483" i="39"/>
  <c r="I483" i="39"/>
  <c r="J483" i="39" s="1"/>
  <c r="H485" i="39"/>
  <c r="I485" i="39"/>
  <c r="J485" i="39" s="1"/>
  <c r="H487" i="39"/>
  <c r="I487" i="39"/>
  <c r="J487" i="39" s="1"/>
  <c r="H489" i="39"/>
  <c r="I489" i="39"/>
  <c r="J489" i="39" s="1"/>
  <c r="H491" i="39"/>
  <c r="I491" i="39"/>
  <c r="J491" i="39" s="1"/>
  <c r="H493" i="39"/>
  <c r="I493" i="39"/>
  <c r="J493" i="39" s="1"/>
  <c r="H495" i="39"/>
  <c r="I495" i="39"/>
  <c r="J495" i="39" s="1"/>
  <c r="H497" i="39"/>
  <c r="I497" i="39"/>
  <c r="J497" i="39" s="1"/>
  <c r="H499" i="39"/>
  <c r="I499" i="39"/>
  <c r="J499" i="39" s="1"/>
  <c r="H501" i="39"/>
  <c r="I501" i="39"/>
  <c r="J501" i="39" s="1"/>
  <c r="H503" i="39"/>
  <c r="I503" i="39"/>
  <c r="J503" i="39" s="1"/>
  <c r="H505" i="39"/>
  <c r="I505" i="39"/>
  <c r="J505" i="39" s="1"/>
  <c r="H507" i="39"/>
  <c r="I507" i="39"/>
  <c r="J507" i="39" s="1"/>
  <c r="H509" i="39"/>
  <c r="I509" i="39"/>
  <c r="J509" i="39" s="1"/>
  <c r="I511" i="39"/>
  <c r="J511" i="39" s="1"/>
  <c r="I512" i="39"/>
  <c r="J512" i="39" s="1"/>
  <c r="I513" i="39"/>
  <c r="J513" i="39" s="1"/>
  <c r="I514" i="39"/>
  <c r="J514" i="39" s="1"/>
  <c r="I515" i="39"/>
  <c r="J515" i="39" s="1"/>
  <c r="I516" i="39"/>
  <c r="J516" i="39" s="1"/>
  <c r="I517" i="39"/>
  <c r="J517" i="39" s="1"/>
  <c r="I518" i="39"/>
  <c r="J518" i="39" s="1"/>
  <c r="I519" i="39"/>
  <c r="J519" i="39" s="1"/>
  <c r="I520" i="39"/>
  <c r="J520" i="39" s="1"/>
  <c r="I521" i="39"/>
  <c r="J521" i="39" s="1"/>
  <c r="I522" i="39"/>
  <c r="J522" i="39" s="1"/>
  <c r="I523" i="39"/>
  <c r="J523" i="39" s="1"/>
  <c r="I524" i="39"/>
  <c r="J524" i="39" s="1"/>
  <c r="I6" i="39"/>
  <c r="J6" i="39" s="1"/>
  <c r="I7" i="39"/>
  <c r="J7" i="39" s="1"/>
  <c r="I8" i="39"/>
  <c r="J8" i="39" s="1"/>
  <c r="I9" i="39"/>
  <c r="J9" i="39" s="1"/>
  <c r="I10" i="39"/>
  <c r="J10" i="39" s="1"/>
  <c r="I11" i="39"/>
  <c r="J11" i="39" s="1"/>
  <c r="I12" i="39"/>
  <c r="J12" i="39" s="1"/>
  <c r="I13" i="39"/>
  <c r="J13" i="39" s="1"/>
  <c r="I14" i="39"/>
  <c r="J14" i="39" s="1"/>
  <c r="I15" i="39"/>
  <c r="J15" i="39" s="1"/>
  <c r="I16" i="39"/>
  <c r="J16" i="39" s="1"/>
  <c r="I17" i="39"/>
  <c r="J17" i="39" s="1"/>
  <c r="I18" i="39"/>
  <c r="J18" i="39" s="1"/>
  <c r="I19" i="39"/>
  <c r="J19" i="39" s="1"/>
  <c r="I20" i="39"/>
  <c r="J20" i="39" s="1"/>
  <c r="I21" i="39"/>
  <c r="J21" i="39" s="1"/>
  <c r="I22" i="39"/>
  <c r="J22" i="39" s="1"/>
  <c r="I23" i="39"/>
  <c r="J23" i="39" s="1"/>
  <c r="I24" i="39"/>
  <c r="J24" i="39" s="1"/>
  <c r="I25" i="39"/>
  <c r="J25" i="39" s="1"/>
  <c r="I26" i="39"/>
  <c r="J26" i="39" s="1"/>
  <c r="I27" i="39"/>
  <c r="J27" i="39" s="1"/>
  <c r="I28" i="39"/>
  <c r="J28" i="39" s="1"/>
  <c r="I29" i="39"/>
  <c r="J29" i="39" s="1"/>
  <c r="I30" i="39"/>
  <c r="J30" i="39" s="1"/>
  <c r="I31" i="39"/>
  <c r="J31" i="39" s="1"/>
  <c r="I32" i="39"/>
  <c r="J32" i="39" s="1"/>
  <c r="I33" i="39"/>
  <c r="J33" i="39" s="1"/>
  <c r="I34" i="39"/>
  <c r="J34" i="39" s="1"/>
  <c r="I35" i="39"/>
  <c r="J35" i="39" s="1"/>
  <c r="I36" i="39"/>
  <c r="J36" i="39" s="1"/>
  <c r="I37" i="39"/>
  <c r="J37" i="39" s="1"/>
  <c r="I38" i="39"/>
  <c r="J38" i="39" s="1"/>
  <c r="I39" i="39"/>
  <c r="J39" i="39" s="1"/>
  <c r="I40" i="39"/>
  <c r="J40" i="39" s="1"/>
  <c r="I41" i="39"/>
  <c r="J41" i="39" s="1"/>
  <c r="I42" i="39"/>
  <c r="J42" i="39" s="1"/>
  <c r="I43" i="39"/>
  <c r="J43" i="39" s="1"/>
  <c r="I44" i="39"/>
  <c r="J44" i="39" s="1"/>
  <c r="I45" i="39"/>
  <c r="J45" i="39" s="1"/>
  <c r="I46" i="39"/>
  <c r="J46" i="39" s="1"/>
  <c r="I47" i="39"/>
  <c r="J47" i="39" s="1"/>
  <c r="I48" i="39"/>
  <c r="J48" i="39" s="1"/>
  <c r="I49" i="39"/>
  <c r="J49" i="39" s="1"/>
  <c r="I50" i="39"/>
  <c r="J50" i="39" s="1"/>
  <c r="I51" i="39"/>
  <c r="J51" i="39" s="1"/>
  <c r="I52" i="39"/>
  <c r="J52" i="39" s="1"/>
  <c r="I53" i="39"/>
  <c r="J53" i="39" s="1"/>
  <c r="I54" i="39"/>
  <c r="J54" i="39" s="1"/>
  <c r="I55" i="39"/>
  <c r="J55" i="39" s="1"/>
  <c r="I56" i="39"/>
  <c r="J56" i="39" s="1"/>
  <c r="I57" i="39"/>
  <c r="J57" i="39" s="1"/>
  <c r="I58" i="39"/>
  <c r="J58" i="39" s="1"/>
  <c r="I59" i="39"/>
  <c r="J59" i="39" s="1"/>
  <c r="I60" i="39"/>
  <c r="J60" i="39" s="1"/>
  <c r="I61" i="39"/>
  <c r="J61" i="39" s="1"/>
  <c r="I62" i="39"/>
  <c r="J62" i="39" s="1"/>
  <c r="I63" i="39"/>
  <c r="J63" i="39" s="1"/>
  <c r="I64" i="39"/>
  <c r="J64" i="39" s="1"/>
  <c r="I65" i="39"/>
  <c r="J65" i="39" s="1"/>
  <c r="I66" i="39"/>
  <c r="J66" i="39" s="1"/>
  <c r="I67" i="39"/>
  <c r="J67" i="39" s="1"/>
  <c r="I68" i="39"/>
  <c r="J68" i="39" s="1"/>
  <c r="I69" i="39"/>
  <c r="J69" i="39" s="1"/>
  <c r="I70" i="39"/>
  <c r="J70" i="39" s="1"/>
  <c r="I71" i="39"/>
  <c r="J71" i="39" s="1"/>
  <c r="I3" i="39"/>
  <c r="J3" i="39" s="1"/>
  <c r="H4" i="39"/>
  <c r="I4" i="39" s="1"/>
  <c r="J4" i="39" s="1"/>
  <c r="H11" i="38"/>
  <c r="I11" i="38" s="1"/>
  <c r="J11" i="38" s="1"/>
  <c r="H58" i="38"/>
  <c r="I58" i="38" s="1"/>
  <c r="J58" i="38" s="1"/>
  <c r="I3" i="38"/>
  <c r="J3" i="38" s="1"/>
  <c r="I4" i="38"/>
  <c r="J4" i="38" s="1"/>
  <c r="I5" i="38"/>
  <c r="J5" i="38" s="1"/>
  <c r="I6" i="38"/>
  <c r="J6" i="38" s="1"/>
  <c r="I7" i="38"/>
  <c r="J7" i="38" s="1"/>
  <c r="I8" i="38"/>
  <c r="J8" i="38" s="1"/>
  <c r="I9" i="38"/>
  <c r="J9" i="38" s="1"/>
  <c r="I12" i="38"/>
  <c r="J12" i="38" s="1"/>
  <c r="I13" i="38"/>
  <c r="J13" i="38" s="1"/>
  <c r="I14" i="38"/>
  <c r="J14" i="38" s="1"/>
  <c r="I15" i="38"/>
  <c r="J15" i="38" s="1"/>
  <c r="I16" i="38"/>
  <c r="J16" i="38" s="1"/>
  <c r="I17" i="38"/>
  <c r="J17" i="38" s="1"/>
  <c r="I18" i="38"/>
  <c r="J18" i="38" s="1"/>
  <c r="I19" i="38"/>
  <c r="J19" i="38" s="1"/>
  <c r="I20" i="38"/>
  <c r="J20" i="38" s="1"/>
  <c r="I21" i="38"/>
  <c r="J21" i="38" s="1"/>
  <c r="I22" i="38"/>
  <c r="J22" i="38" s="1"/>
  <c r="I23" i="38"/>
  <c r="J23" i="38" s="1"/>
  <c r="I24" i="38"/>
  <c r="J24" i="38" s="1"/>
  <c r="I25" i="38"/>
  <c r="J25" i="38" s="1"/>
  <c r="I26" i="38"/>
  <c r="J26" i="38" s="1"/>
  <c r="I27" i="38"/>
  <c r="J27" i="38" s="1"/>
  <c r="I28" i="38"/>
  <c r="J28" i="38" s="1"/>
  <c r="I29" i="38"/>
  <c r="J29" i="38" s="1"/>
  <c r="I30" i="38"/>
  <c r="J30" i="38" s="1"/>
  <c r="I31" i="38"/>
  <c r="J31" i="38" s="1"/>
  <c r="I32" i="38"/>
  <c r="J32" i="38" s="1"/>
  <c r="I33" i="38"/>
  <c r="J33" i="38" s="1"/>
  <c r="I34" i="38"/>
  <c r="J34" i="38" s="1"/>
  <c r="I35" i="38"/>
  <c r="J35" i="38" s="1"/>
  <c r="I36" i="38"/>
  <c r="J36" i="38" s="1"/>
  <c r="I37" i="38"/>
  <c r="J37" i="38" s="1"/>
  <c r="I38" i="38"/>
  <c r="J38" i="38" s="1"/>
  <c r="I39" i="38"/>
  <c r="J39" i="38" s="1"/>
  <c r="I40" i="38"/>
  <c r="J40" i="38" s="1"/>
  <c r="I41" i="38"/>
  <c r="J41" i="38" s="1"/>
  <c r="I42" i="38"/>
  <c r="J42" i="38" s="1"/>
  <c r="I43" i="38"/>
  <c r="J43" i="38" s="1"/>
  <c r="I44" i="38"/>
  <c r="J44" i="38" s="1"/>
  <c r="I45" i="38"/>
  <c r="J45" i="38" s="1"/>
  <c r="I46" i="38"/>
  <c r="J46" i="38" s="1"/>
  <c r="I47" i="38"/>
  <c r="J47" i="38" s="1"/>
  <c r="I48" i="38"/>
  <c r="J48" i="38" s="1"/>
  <c r="I49" i="38"/>
  <c r="J49" i="38" s="1"/>
  <c r="I50" i="38"/>
  <c r="J50" i="38" s="1"/>
  <c r="I51" i="38"/>
  <c r="J51" i="38" s="1"/>
  <c r="I52" i="38"/>
  <c r="J52" i="38" s="1"/>
  <c r="I53" i="38"/>
  <c r="J53" i="38" s="1"/>
  <c r="I54" i="38"/>
  <c r="J54" i="38" s="1"/>
  <c r="I55" i="38"/>
  <c r="J55" i="38" s="1"/>
  <c r="I56" i="38"/>
  <c r="J56" i="38" s="1"/>
  <c r="I57" i="38"/>
  <c r="J57" i="38" s="1"/>
  <c r="I60" i="38"/>
  <c r="J60" i="38" s="1"/>
  <c r="I62" i="38"/>
  <c r="J62" i="38" s="1"/>
  <c r="I64" i="38"/>
  <c r="J64" i="38" s="1"/>
  <c r="I66" i="38"/>
  <c r="J66" i="38" s="1"/>
  <c r="I68" i="38"/>
  <c r="J68" i="38" s="1"/>
  <c r="I69" i="38"/>
  <c r="J69" i="38" s="1"/>
  <c r="I71" i="38"/>
  <c r="J71" i="38" s="1"/>
  <c r="I73" i="38"/>
  <c r="J73" i="38" s="1"/>
  <c r="I76" i="38"/>
  <c r="J76" i="38" s="1"/>
  <c r="I80" i="38"/>
  <c r="J80" i="38" s="1"/>
  <c r="I83" i="38"/>
  <c r="J83" i="38" s="1"/>
  <c r="I87" i="38"/>
  <c r="J87" i="38" s="1"/>
  <c r="I89" i="38"/>
  <c r="J89" i="38" s="1"/>
  <c r="I91" i="38"/>
  <c r="J91" i="38" s="1"/>
  <c r="I93" i="38"/>
  <c r="J93" i="38" s="1"/>
  <c r="I95" i="38"/>
  <c r="J95" i="38" s="1"/>
  <c r="I97" i="38"/>
  <c r="J97" i="38" s="1"/>
  <c r="I99" i="38"/>
  <c r="J99" i="38" s="1"/>
  <c r="I101" i="38"/>
  <c r="J101" i="38" s="1"/>
  <c r="I103" i="38"/>
  <c r="J103" i="38" s="1"/>
  <c r="I105" i="38"/>
  <c r="J105" i="38" s="1"/>
  <c r="I107" i="38"/>
  <c r="J107" i="38" s="1"/>
  <c r="I109" i="38"/>
  <c r="J109" i="38" s="1"/>
  <c r="I110" i="38"/>
  <c r="J110" i="38" s="1"/>
  <c r="I112" i="38"/>
  <c r="J112" i="38" s="1"/>
  <c r="I113" i="38"/>
  <c r="J113" i="38" s="1"/>
  <c r="I115" i="38"/>
  <c r="J115" i="38" s="1"/>
  <c r="H59" i="38"/>
  <c r="I59" i="38" s="1"/>
  <c r="J59" i="38" s="1"/>
  <c r="H61" i="38"/>
  <c r="I61" i="38" s="1"/>
  <c r="J61" i="38" s="1"/>
  <c r="H63" i="38"/>
  <c r="I63" i="38" s="1"/>
  <c r="J63" i="38" s="1"/>
  <c r="H65" i="38"/>
  <c r="I65" i="38" s="1"/>
  <c r="J65" i="38" s="1"/>
  <c r="H67" i="38"/>
  <c r="I67" i="38" s="1"/>
  <c r="J67" i="38" s="1"/>
  <c r="H70" i="38"/>
  <c r="I70" i="38" s="1"/>
  <c r="J70" i="38" s="1"/>
  <c r="H72" i="38"/>
  <c r="I72" i="38" s="1"/>
  <c r="J72" i="38" s="1"/>
  <c r="H74" i="38"/>
  <c r="I74" i="38" s="1"/>
  <c r="J74" i="38" s="1"/>
  <c r="H75" i="38"/>
  <c r="I75" i="38" s="1"/>
  <c r="J75" i="38" s="1"/>
  <c r="H77" i="38"/>
  <c r="I77" i="38" s="1"/>
  <c r="J77" i="38" s="1"/>
  <c r="H78" i="38"/>
  <c r="I78" i="38" s="1"/>
  <c r="J78" i="38" s="1"/>
  <c r="H79" i="38"/>
  <c r="I79" i="38" s="1"/>
  <c r="J79" i="38" s="1"/>
  <c r="H81" i="38"/>
  <c r="I81" i="38" s="1"/>
  <c r="J81" i="38" s="1"/>
  <c r="H82" i="38"/>
  <c r="I82" i="38" s="1"/>
  <c r="J82" i="38" s="1"/>
  <c r="H84" i="38"/>
  <c r="I84" i="38" s="1"/>
  <c r="J84" i="38" s="1"/>
  <c r="H85" i="38"/>
  <c r="I85" i="38" s="1"/>
  <c r="J85" i="38" s="1"/>
  <c r="H86" i="38"/>
  <c r="I86" i="38" s="1"/>
  <c r="J86" i="38" s="1"/>
  <c r="H88" i="38"/>
  <c r="I88" i="38" s="1"/>
  <c r="J88" i="38" s="1"/>
  <c r="H90" i="38"/>
  <c r="I90" i="38" s="1"/>
  <c r="J90" i="38" s="1"/>
  <c r="H92" i="38"/>
  <c r="I92" i="38" s="1"/>
  <c r="J92" i="38" s="1"/>
  <c r="H94" i="38"/>
  <c r="I94" i="38" s="1"/>
  <c r="J94" i="38" s="1"/>
  <c r="H96" i="38"/>
  <c r="I96" i="38" s="1"/>
  <c r="J96" i="38" s="1"/>
  <c r="H98" i="38"/>
  <c r="I98" i="38" s="1"/>
  <c r="J98" i="38" s="1"/>
  <c r="H100" i="38"/>
  <c r="I100" i="38" s="1"/>
  <c r="J100" i="38" s="1"/>
  <c r="H102" i="38"/>
  <c r="I102" i="38" s="1"/>
  <c r="J102" i="38" s="1"/>
  <c r="H104" i="38"/>
  <c r="I104" i="38" s="1"/>
  <c r="J104" i="38" s="1"/>
  <c r="H106" i="38"/>
  <c r="I106" i="38" s="1"/>
  <c r="J106" i="38" s="1"/>
  <c r="H108" i="38"/>
  <c r="I108" i="38" s="1"/>
  <c r="J108" i="38" s="1"/>
  <c r="H111" i="38"/>
  <c r="I111" i="38" s="1"/>
  <c r="J111" i="38" s="1"/>
  <c r="H114" i="38"/>
  <c r="I114" i="38" s="1"/>
  <c r="J114" i="38" s="1"/>
  <c r="H116" i="38"/>
  <c r="I116" i="38" s="1"/>
  <c r="J116" i="38" s="1"/>
  <c r="H143" i="37"/>
  <c r="I143" i="37" s="1"/>
  <c r="J143" i="37" s="1"/>
  <c r="H145" i="37"/>
  <c r="I145" i="37" s="1"/>
  <c r="J145" i="37" s="1"/>
  <c r="H147" i="37"/>
  <c r="I147" i="37" s="1"/>
  <c r="J147" i="37" s="1"/>
  <c r="H149" i="37"/>
  <c r="I149" i="37" s="1"/>
  <c r="J149" i="37" s="1"/>
  <c r="H151" i="37"/>
  <c r="I151" i="37" s="1"/>
  <c r="J151" i="37" s="1"/>
  <c r="H153" i="37"/>
  <c r="I153" i="37" s="1"/>
  <c r="J153" i="37" s="1"/>
  <c r="H155" i="37"/>
  <c r="I155" i="37" s="1"/>
  <c r="J155" i="37" s="1"/>
  <c r="H157" i="37"/>
  <c r="I157" i="37" s="1"/>
  <c r="J157" i="37" s="1"/>
  <c r="H159" i="37"/>
  <c r="I159" i="37" s="1"/>
  <c r="J159" i="37" s="1"/>
  <c r="H161" i="37"/>
  <c r="I161" i="37" s="1"/>
  <c r="J161" i="37" s="1"/>
  <c r="H163" i="37"/>
  <c r="I163" i="37" s="1"/>
  <c r="J163" i="37" s="1"/>
  <c r="H165" i="37"/>
  <c r="I165" i="37" s="1"/>
  <c r="J165" i="37" s="1"/>
  <c r="H167" i="37"/>
  <c r="I167" i="37" s="1"/>
  <c r="J167" i="37" s="1"/>
  <c r="H169" i="37"/>
  <c r="I169" i="37" s="1"/>
  <c r="J169" i="37" s="1"/>
  <c r="H171" i="37"/>
  <c r="I171" i="37" s="1"/>
  <c r="J171" i="37" s="1"/>
  <c r="H173" i="37"/>
  <c r="I173" i="37" s="1"/>
  <c r="J173" i="37" s="1"/>
  <c r="I7" i="37"/>
  <c r="J7" i="37" s="1"/>
  <c r="I8" i="37"/>
  <c r="J8" i="37" s="1"/>
  <c r="H6" i="37"/>
  <c r="I6" i="37" s="1"/>
  <c r="J6" i="37" s="1"/>
  <c r="H3" i="37"/>
  <c r="I3" i="37" s="1"/>
  <c r="J3" i="37" s="1"/>
  <c r="H4" i="37"/>
  <c r="I4" i="37" s="1"/>
  <c r="J4" i="37" s="1"/>
  <c r="H5" i="37"/>
  <c r="I5" i="37" s="1"/>
  <c r="J5" i="37" s="1"/>
  <c r="H9" i="37"/>
  <c r="I9" i="37" s="1"/>
  <c r="J9" i="37" s="1"/>
  <c r="H10" i="37"/>
  <c r="I10" i="37" s="1"/>
  <c r="J10" i="37" s="1"/>
  <c r="H11" i="37"/>
  <c r="I11" i="37" s="1"/>
  <c r="J11" i="37" s="1"/>
  <c r="H12" i="37"/>
  <c r="I12" i="37" s="1"/>
  <c r="J12" i="37" s="1"/>
  <c r="H13" i="37"/>
  <c r="I13" i="37" s="1"/>
  <c r="J13" i="37" s="1"/>
  <c r="H14" i="37"/>
  <c r="I14" i="37" s="1"/>
  <c r="J14" i="37" s="1"/>
  <c r="H15" i="37"/>
  <c r="I15" i="37" s="1"/>
  <c r="J15" i="37" s="1"/>
  <c r="H16" i="37"/>
  <c r="I16" i="37" s="1"/>
  <c r="J16" i="37" s="1"/>
  <c r="H17" i="37"/>
  <c r="I17" i="37" s="1"/>
  <c r="J17" i="37" s="1"/>
  <c r="H18" i="37"/>
  <c r="I18" i="37" s="1"/>
  <c r="J18" i="37" s="1"/>
  <c r="H19" i="37"/>
  <c r="I19" i="37" s="1"/>
  <c r="J19" i="37" s="1"/>
  <c r="H20" i="37"/>
  <c r="I20" i="37" s="1"/>
  <c r="J20" i="37" s="1"/>
  <c r="H21" i="37"/>
  <c r="I21" i="37" s="1"/>
  <c r="J21" i="37" s="1"/>
  <c r="H22" i="37"/>
  <c r="I22" i="37" s="1"/>
  <c r="J22" i="37" s="1"/>
  <c r="H23" i="37"/>
  <c r="I23" i="37" s="1"/>
  <c r="J23" i="37" s="1"/>
  <c r="H24" i="37"/>
  <c r="I24" i="37" s="1"/>
  <c r="J24" i="37" s="1"/>
  <c r="H25" i="37"/>
  <c r="I25" i="37" s="1"/>
  <c r="J25" i="37" s="1"/>
  <c r="H26" i="37"/>
  <c r="I26" i="37" s="1"/>
  <c r="J26" i="37" s="1"/>
  <c r="H27" i="37"/>
  <c r="I27" i="37" s="1"/>
  <c r="J27" i="37" s="1"/>
  <c r="H28" i="37"/>
  <c r="I28" i="37" s="1"/>
  <c r="J28" i="37" s="1"/>
  <c r="H29" i="37"/>
  <c r="I29" i="37" s="1"/>
  <c r="J29" i="37" s="1"/>
  <c r="H30" i="37"/>
  <c r="I30" i="37" s="1"/>
  <c r="J30" i="37" s="1"/>
  <c r="H31" i="37"/>
  <c r="I31" i="37" s="1"/>
  <c r="J31" i="37" s="1"/>
  <c r="H32" i="37"/>
  <c r="I32" i="37" s="1"/>
  <c r="J32" i="37" s="1"/>
  <c r="H33" i="37"/>
  <c r="I33" i="37" s="1"/>
  <c r="J33" i="37" s="1"/>
  <c r="H34" i="37"/>
  <c r="I34" i="37" s="1"/>
  <c r="J34" i="37" s="1"/>
  <c r="H35" i="37"/>
  <c r="I35" i="37" s="1"/>
  <c r="J35" i="37" s="1"/>
  <c r="H36" i="37"/>
  <c r="I36" i="37" s="1"/>
  <c r="J36" i="37" s="1"/>
  <c r="H37" i="37"/>
  <c r="I37" i="37" s="1"/>
  <c r="J37" i="37" s="1"/>
  <c r="H38" i="37"/>
  <c r="I38" i="37" s="1"/>
  <c r="J38" i="37" s="1"/>
  <c r="H39" i="37"/>
  <c r="I39" i="37" s="1"/>
  <c r="J39" i="37" s="1"/>
  <c r="H40" i="37"/>
  <c r="I40" i="37" s="1"/>
  <c r="J40" i="37" s="1"/>
  <c r="H41" i="37"/>
  <c r="I41" i="37" s="1"/>
  <c r="J41" i="37" s="1"/>
  <c r="H42" i="37"/>
  <c r="I42" i="37" s="1"/>
  <c r="J42" i="37" s="1"/>
  <c r="H43" i="37"/>
  <c r="I43" i="37" s="1"/>
  <c r="J43" i="37" s="1"/>
  <c r="H44" i="37"/>
  <c r="I44" i="37" s="1"/>
  <c r="J44" i="37" s="1"/>
  <c r="H45" i="37"/>
  <c r="I45" i="37" s="1"/>
  <c r="J45" i="37" s="1"/>
  <c r="H46" i="37"/>
  <c r="I46" i="37" s="1"/>
  <c r="J46" i="37" s="1"/>
  <c r="H47" i="37"/>
  <c r="I47" i="37" s="1"/>
  <c r="J47" i="37" s="1"/>
  <c r="H48" i="37"/>
  <c r="I48" i="37" s="1"/>
  <c r="J48" i="37" s="1"/>
  <c r="H49" i="37"/>
  <c r="I49" i="37" s="1"/>
  <c r="J49" i="37" s="1"/>
  <c r="H50" i="37"/>
  <c r="I50" i="37" s="1"/>
  <c r="J50" i="37" s="1"/>
  <c r="H51" i="37"/>
  <c r="I51" i="37" s="1"/>
  <c r="J51" i="37" s="1"/>
  <c r="H52" i="37"/>
  <c r="I52" i="37" s="1"/>
  <c r="J52" i="37" s="1"/>
  <c r="H53" i="37"/>
  <c r="I53" i="37" s="1"/>
  <c r="J53" i="37" s="1"/>
  <c r="H54" i="37"/>
  <c r="I54" i="37" s="1"/>
  <c r="J54" i="37" s="1"/>
  <c r="H55" i="37"/>
  <c r="I55" i="37" s="1"/>
  <c r="J55" i="37" s="1"/>
  <c r="H56" i="37"/>
  <c r="I56" i="37" s="1"/>
  <c r="J56" i="37" s="1"/>
  <c r="H57" i="37"/>
  <c r="I57" i="37" s="1"/>
  <c r="J57" i="37" s="1"/>
  <c r="H58" i="37"/>
  <c r="I58" i="37" s="1"/>
  <c r="J58" i="37" s="1"/>
  <c r="H59" i="37"/>
  <c r="I59" i="37" s="1"/>
  <c r="J59" i="37" s="1"/>
  <c r="H60" i="37"/>
  <c r="I60" i="37" s="1"/>
  <c r="J60" i="37" s="1"/>
  <c r="H61" i="37"/>
  <c r="I61" i="37" s="1"/>
  <c r="J61" i="37" s="1"/>
  <c r="H62" i="37"/>
  <c r="I62" i="37" s="1"/>
  <c r="J62" i="37" s="1"/>
  <c r="H63" i="37"/>
  <c r="I63" i="37" s="1"/>
  <c r="J63" i="37" s="1"/>
  <c r="H64" i="37"/>
  <c r="I64" i="37" s="1"/>
  <c r="J64" i="37" s="1"/>
  <c r="H65" i="37"/>
  <c r="I65" i="37" s="1"/>
  <c r="J65" i="37" s="1"/>
  <c r="H66" i="37"/>
  <c r="I66" i="37" s="1"/>
  <c r="J66" i="37" s="1"/>
  <c r="I67" i="37"/>
  <c r="J67" i="37" s="1"/>
  <c r="I68" i="37"/>
  <c r="J68" i="37" s="1"/>
  <c r="I69" i="37"/>
  <c r="J69" i="37" s="1"/>
  <c r="I70" i="37"/>
  <c r="J70" i="37" s="1"/>
  <c r="I71" i="37"/>
  <c r="J71" i="37" s="1"/>
  <c r="I72" i="37"/>
  <c r="J72" i="37" s="1"/>
  <c r="I73" i="37"/>
  <c r="J73" i="37" s="1"/>
  <c r="I74" i="37"/>
  <c r="J74" i="37" s="1"/>
  <c r="I75" i="37"/>
  <c r="J75" i="37" s="1"/>
  <c r="I76" i="37"/>
  <c r="J76" i="37" s="1"/>
  <c r="I77" i="37"/>
  <c r="J77" i="37" s="1"/>
  <c r="I78" i="37"/>
  <c r="J78" i="37" s="1"/>
  <c r="I79" i="37"/>
  <c r="J79" i="37" s="1"/>
  <c r="I80" i="37"/>
  <c r="J80" i="37" s="1"/>
  <c r="I81" i="37"/>
  <c r="J81" i="37" s="1"/>
  <c r="I82" i="37"/>
  <c r="J82" i="37" s="1"/>
  <c r="I83" i="37"/>
  <c r="J83" i="37" s="1"/>
  <c r="I84" i="37"/>
  <c r="J84" i="37" s="1"/>
  <c r="I85" i="37"/>
  <c r="J85" i="37" s="1"/>
  <c r="I86" i="37"/>
  <c r="J86" i="37" s="1"/>
  <c r="I87" i="37"/>
  <c r="J87" i="37" s="1"/>
  <c r="I88" i="37"/>
  <c r="J88" i="37" s="1"/>
  <c r="I89" i="37"/>
  <c r="J89" i="37" s="1"/>
  <c r="I90" i="37"/>
  <c r="J90" i="37" s="1"/>
  <c r="I91" i="37"/>
  <c r="J91" i="37" s="1"/>
  <c r="I92" i="37"/>
  <c r="J92" i="37" s="1"/>
  <c r="I93" i="37"/>
  <c r="J93" i="37" s="1"/>
  <c r="I94" i="37"/>
  <c r="J94" i="37" s="1"/>
  <c r="I95" i="37"/>
  <c r="J95" i="37" s="1"/>
  <c r="I96" i="37"/>
  <c r="J96" i="37" s="1"/>
  <c r="I97" i="37"/>
  <c r="J97" i="37" s="1"/>
  <c r="I98" i="37"/>
  <c r="J98" i="37" s="1"/>
  <c r="I99" i="37"/>
  <c r="J99" i="37" s="1"/>
  <c r="I100" i="37"/>
  <c r="J100" i="37" s="1"/>
  <c r="I101" i="37"/>
  <c r="J101" i="37" s="1"/>
  <c r="I102" i="37"/>
  <c r="J102" i="37" s="1"/>
  <c r="I103" i="37"/>
  <c r="J103" i="37" s="1"/>
  <c r="I104" i="37"/>
  <c r="J104" i="37" s="1"/>
  <c r="I105" i="37"/>
  <c r="J105" i="37" s="1"/>
  <c r="I106" i="37"/>
  <c r="J106" i="37" s="1"/>
  <c r="I107" i="37"/>
  <c r="J107" i="37" s="1"/>
  <c r="I108" i="37"/>
  <c r="J108" i="37" s="1"/>
  <c r="I109" i="37"/>
  <c r="J109" i="37" s="1"/>
  <c r="I110" i="37"/>
  <c r="J110" i="37" s="1"/>
  <c r="I111" i="37"/>
  <c r="J111" i="37" s="1"/>
  <c r="I112" i="37"/>
  <c r="J112" i="37" s="1"/>
  <c r="I113" i="37"/>
  <c r="J113" i="37" s="1"/>
  <c r="I114" i="37"/>
  <c r="J114" i="37" s="1"/>
  <c r="I115" i="37"/>
  <c r="J115" i="37" s="1"/>
  <c r="I116" i="37"/>
  <c r="J116" i="37" s="1"/>
  <c r="I117" i="37"/>
  <c r="J117" i="37" s="1"/>
  <c r="I118" i="37"/>
  <c r="J118" i="37" s="1"/>
  <c r="H142" i="37"/>
  <c r="I142" i="37" s="1"/>
  <c r="J142" i="37" s="1"/>
  <c r="H144" i="37"/>
  <c r="I144" i="37" s="1"/>
  <c r="J144" i="37" s="1"/>
  <c r="H146" i="37"/>
  <c r="I146" i="37" s="1"/>
  <c r="J146" i="37" s="1"/>
  <c r="H148" i="37"/>
  <c r="I148" i="37" s="1"/>
  <c r="J148" i="37" s="1"/>
  <c r="H150" i="37"/>
  <c r="I150" i="37" s="1"/>
  <c r="J150" i="37" s="1"/>
  <c r="H152" i="37"/>
  <c r="I152" i="37" s="1"/>
  <c r="J152" i="37" s="1"/>
  <c r="H154" i="37"/>
  <c r="I154" i="37" s="1"/>
  <c r="J154" i="37" s="1"/>
  <c r="H156" i="37"/>
  <c r="I156" i="37" s="1"/>
  <c r="J156" i="37" s="1"/>
  <c r="H158" i="37"/>
  <c r="I158" i="37" s="1"/>
  <c r="J158" i="37" s="1"/>
  <c r="H160" i="37"/>
  <c r="I160" i="37" s="1"/>
  <c r="J160" i="37" s="1"/>
  <c r="H162" i="37"/>
  <c r="I162" i="37" s="1"/>
  <c r="J162" i="37" s="1"/>
  <c r="H164" i="37"/>
  <c r="I164" i="37" s="1"/>
  <c r="J164" i="37" s="1"/>
  <c r="H166" i="37"/>
  <c r="I166" i="37" s="1"/>
  <c r="J166" i="37" s="1"/>
  <c r="H168" i="37"/>
  <c r="I168" i="37" s="1"/>
  <c r="J168" i="37" s="1"/>
  <c r="H170" i="37"/>
  <c r="I170" i="37" s="1"/>
  <c r="J170" i="37" s="1"/>
  <c r="H172" i="37"/>
  <c r="I172" i="37" s="1"/>
  <c r="J172" i="37" s="1"/>
  <c r="I174" i="37"/>
  <c r="J174" i="37" s="1"/>
  <c r="I175" i="37"/>
  <c r="J175" i="37" s="1"/>
  <c r="I176" i="37"/>
  <c r="J176" i="37" s="1"/>
  <c r="I177" i="37"/>
  <c r="J177" i="37" s="1"/>
  <c r="I178" i="37"/>
  <c r="J178" i="37" s="1"/>
  <c r="I179" i="37"/>
  <c r="J179" i="37" s="1"/>
  <c r="I180" i="37"/>
  <c r="J180" i="37" s="1"/>
  <c r="I181" i="37"/>
  <c r="J181" i="37" s="1"/>
  <c r="I182" i="37"/>
  <c r="J182" i="37" s="1"/>
  <c r="I183" i="37"/>
  <c r="J183" i="37" s="1"/>
  <c r="I184" i="37"/>
  <c r="J184" i="37" s="1"/>
  <c r="I185" i="37"/>
  <c r="J185" i="37" s="1"/>
  <c r="I186" i="37"/>
  <c r="J186" i="37" s="1"/>
  <c r="I187" i="37"/>
  <c r="J187" i="37" s="1"/>
  <c r="I188" i="37"/>
  <c r="J188" i="37" s="1"/>
  <c r="I189" i="37"/>
  <c r="J189" i="37" s="1"/>
  <c r="I190" i="37"/>
  <c r="J190" i="37" s="1"/>
  <c r="I191" i="37"/>
  <c r="J191" i="37" s="1"/>
  <c r="I192" i="37"/>
  <c r="J192" i="37" s="1"/>
  <c r="I193" i="37"/>
  <c r="J193" i="37" s="1"/>
  <c r="I194" i="37"/>
  <c r="J194" i="37" s="1"/>
  <c r="I195" i="37"/>
  <c r="J195" i="37" s="1"/>
  <c r="I196" i="37"/>
  <c r="J196" i="37" s="1"/>
  <c r="I197" i="37"/>
  <c r="J197" i="37" s="1"/>
  <c r="I198" i="37"/>
  <c r="J198" i="37" s="1"/>
  <c r="I199" i="37"/>
  <c r="J199" i="37" s="1"/>
  <c r="I200" i="37"/>
  <c r="J200" i="37" s="1"/>
  <c r="I201" i="37"/>
  <c r="J201" i="37" s="1"/>
  <c r="I202" i="37"/>
  <c r="J202" i="37" s="1"/>
  <c r="I203" i="37"/>
  <c r="J203" i="37" s="1"/>
  <c r="I204" i="37"/>
  <c r="J204" i="37" s="1"/>
  <c r="I205" i="37"/>
  <c r="J205" i="37" s="1"/>
  <c r="I206" i="37"/>
  <c r="J206" i="37" s="1"/>
  <c r="I207" i="37"/>
  <c r="J207" i="37" s="1"/>
  <c r="I208" i="37"/>
  <c r="J208" i="37" s="1"/>
  <c r="I209" i="37"/>
  <c r="J209" i="37" s="1"/>
  <c r="I210" i="37"/>
  <c r="J210" i="37" s="1"/>
  <c r="I211" i="37"/>
  <c r="J211" i="37" s="1"/>
  <c r="I212" i="37"/>
  <c r="J212" i="37" s="1"/>
  <c r="I213" i="37"/>
  <c r="J213" i="37" s="1"/>
  <c r="I214" i="37"/>
  <c r="J214" i="37" s="1"/>
  <c r="I215" i="37"/>
  <c r="J215" i="37" s="1"/>
  <c r="I216" i="37"/>
  <c r="J216" i="37" s="1"/>
  <c r="I217" i="37"/>
  <c r="J217" i="37" s="1"/>
  <c r="I218" i="37"/>
  <c r="J218" i="37" s="1"/>
  <c r="I219" i="37"/>
  <c r="J219" i="37" s="1"/>
  <c r="I220" i="37"/>
  <c r="J220" i="37" s="1"/>
  <c r="I221" i="37"/>
  <c r="J221" i="37" s="1"/>
  <c r="I222" i="37"/>
  <c r="J222" i="37" s="1"/>
  <c r="I223" i="37"/>
  <c r="J223" i="37" s="1"/>
  <c r="I224" i="37"/>
  <c r="J224" i="37" s="1"/>
  <c r="I225" i="37"/>
  <c r="J225" i="37" s="1"/>
  <c r="I226" i="37"/>
  <c r="J226" i="37" s="1"/>
  <c r="I230" i="37"/>
  <c r="J230" i="37" s="1"/>
  <c r="I238" i="37"/>
  <c r="J238" i="37" s="1"/>
  <c r="I246" i="37"/>
  <c r="J246" i="37" s="1"/>
  <c r="I254" i="37"/>
  <c r="J254" i="37" s="1"/>
  <c r="I262" i="37"/>
  <c r="J262" i="37" s="1"/>
  <c r="H227" i="37"/>
  <c r="I227" i="37" s="1"/>
  <c r="J227" i="37" s="1"/>
  <c r="H228" i="37"/>
  <c r="I228" i="37" s="1"/>
  <c r="J228" i="37" s="1"/>
  <c r="H229" i="37"/>
  <c r="I229" i="37" s="1"/>
  <c r="J229" i="37" s="1"/>
  <c r="H230" i="37"/>
  <c r="H231" i="37"/>
  <c r="I231" i="37" s="1"/>
  <c r="J231" i="37" s="1"/>
  <c r="H232" i="37"/>
  <c r="I232" i="37" s="1"/>
  <c r="J232" i="37" s="1"/>
  <c r="H233" i="37"/>
  <c r="I233" i="37" s="1"/>
  <c r="J233" i="37" s="1"/>
  <c r="H234" i="37"/>
  <c r="I234" i="37" s="1"/>
  <c r="J234" i="37" s="1"/>
  <c r="H235" i="37"/>
  <c r="I235" i="37" s="1"/>
  <c r="J235" i="37" s="1"/>
  <c r="H236" i="37"/>
  <c r="I236" i="37" s="1"/>
  <c r="J236" i="37" s="1"/>
  <c r="H237" i="37"/>
  <c r="I237" i="37" s="1"/>
  <c r="J237" i="37" s="1"/>
  <c r="H238" i="37"/>
  <c r="H239" i="37"/>
  <c r="I239" i="37" s="1"/>
  <c r="J239" i="37" s="1"/>
  <c r="H240" i="37"/>
  <c r="I240" i="37" s="1"/>
  <c r="J240" i="37" s="1"/>
  <c r="H241" i="37"/>
  <c r="I241" i="37" s="1"/>
  <c r="J241" i="37" s="1"/>
  <c r="H242" i="37"/>
  <c r="I242" i="37" s="1"/>
  <c r="J242" i="37" s="1"/>
  <c r="H243" i="37"/>
  <c r="I243" i="37" s="1"/>
  <c r="J243" i="37" s="1"/>
  <c r="H244" i="37"/>
  <c r="I244" i="37" s="1"/>
  <c r="J244" i="37" s="1"/>
  <c r="H245" i="37"/>
  <c r="I245" i="37" s="1"/>
  <c r="J245" i="37" s="1"/>
  <c r="H246" i="37"/>
  <c r="H247" i="37"/>
  <c r="I247" i="37" s="1"/>
  <c r="J247" i="37" s="1"/>
  <c r="H248" i="37"/>
  <c r="I248" i="37" s="1"/>
  <c r="J248" i="37" s="1"/>
  <c r="H249" i="37"/>
  <c r="I249" i="37" s="1"/>
  <c r="J249" i="37" s="1"/>
  <c r="H250" i="37"/>
  <c r="I250" i="37" s="1"/>
  <c r="J250" i="37" s="1"/>
  <c r="H251" i="37"/>
  <c r="I251" i="37" s="1"/>
  <c r="J251" i="37" s="1"/>
  <c r="H252" i="37"/>
  <c r="I252" i="37" s="1"/>
  <c r="J252" i="37" s="1"/>
  <c r="H253" i="37"/>
  <c r="I253" i="37" s="1"/>
  <c r="J253" i="37" s="1"/>
  <c r="H254" i="37"/>
  <c r="H255" i="37"/>
  <c r="I255" i="37" s="1"/>
  <c r="J255" i="37" s="1"/>
  <c r="H256" i="37"/>
  <c r="I256" i="37" s="1"/>
  <c r="J256" i="37" s="1"/>
  <c r="H257" i="37"/>
  <c r="I257" i="37" s="1"/>
  <c r="J257" i="37" s="1"/>
  <c r="H258" i="37"/>
  <c r="I258" i="37" s="1"/>
  <c r="J258" i="37" s="1"/>
  <c r="H259" i="37"/>
  <c r="I259" i="37" s="1"/>
  <c r="J259" i="37" s="1"/>
  <c r="H260" i="37"/>
  <c r="I260" i="37" s="1"/>
  <c r="J260" i="37" s="1"/>
  <c r="H261" i="37"/>
  <c r="I261" i="37" s="1"/>
  <c r="J261" i="37" s="1"/>
  <c r="H262" i="37"/>
  <c r="H263" i="37"/>
  <c r="I263" i="37" s="1"/>
  <c r="J263" i="37" s="1"/>
  <c r="H264" i="37"/>
  <c r="I264" i="37" s="1"/>
  <c r="J264" i="37" s="1"/>
  <c r="H265" i="37"/>
  <c r="I265" i="37" s="1"/>
  <c r="J265" i="37" s="1"/>
  <c r="H266" i="37"/>
  <c r="I266" i="37" s="1"/>
  <c r="J266" i="37" s="1"/>
  <c r="H267" i="37"/>
  <c r="I267" i="37" s="1"/>
  <c r="J267" i="37" s="1"/>
  <c r="H268" i="37"/>
  <c r="I268" i="37" s="1"/>
  <c r="J268" i="37" s="1"/>
  <c r="H269" i="37"/>
  <c r="I269" i="37" s="1"/>
  <c r="J269" i="37" s="1"/>
  <c r="H3" i="36"/>
  <c r="I3" i="36" s="1"/>
  <c r="J3" i="36" s="1"/>
  <c r="H4" i="36"/>
  <c r="I4" i="36" s="1"/>
  <c r="J4" i="36" s="1"/>
  <c r="H5" i="36"/>
  <c r="I5" i="36" s="1"/>
  <c r="J5" i="36" s="1"/>
  <c r="H6" i="36"/>
  <c r="I6" i="36" s="1"/>
  <c r="J6" i="36" s="1"/>
  <c r="H7" i="36"/>
  <c r="I7" i="36" s="1"/>
  <c r="J7" i="36" s="1"/>
  <c r="H8" i="36"/>
  <c r="I8" i="36" s="1"/>
  <c r="J8" i="36" s="1"/>
  <c r="H9" i="36"/>
  <c r="I9" i="36" s="1"/>
  <c r="J9" i="36" s="1"/>
  <c r="H10" i="36"/>
  <c r="I10" i="36" s="1"/>
  <c r="J10" i="36" s="1"/>
  <c r="H11" i="36"/>
  <c r="I11" i="36" s="1"/>
  <c r="J11" i="36" s="1"/>
  <c r="H12" i="36"/>
  <c r="I12" i="36" s="1"/>
  <c r="J12" i="36" s="1"/>
  <c r="H13" i="36"/>
  <c r="I13" i="36" s="1"/>
  <c r="J13" i="36" s="1"/>
  <c r="H15" i="36"/>
  <c r="I15" i="36" s="1"/>
  <c r="J15" i="36" s="1"/>
  <c r="H16" i="36"/>
  <c r="I16" i="36" s="1"/>
  <c r="J16" i="36" s="1"/>
  <c r="H17" i="36"/>
  <c r="I17" i="36" s="1"/>
  <c r="J17" i="36" s="1"/>
  <c r="H18" i="36"/>
  <c r="I18" i="36" s="1"/>
  <c r="J18" i="36" s="1"/>
  <c r="H19" i="36"/>
  <c r="I19" i="36" s="1"/>
  <c r="J19" i="36" s="1"/>
  <c r="H20" i="36"/>
  <c r="I20" i="36" s="1"/>
  <c r="J20" i="36" s="1"/>
  <c r="H21" i="36"/>
  <c r="I21" i="36" s="1"/>
  <c r="J21" i="36" s="1"/>
  <c r="H22" i="36"/>
  <c r="I22" i="36" s="1"/>
  <c r="J22" i="36" s="1"/>
  <c r="H23" i="36"/>
  <c r="I23" i="36" s="1"/>
  <c r="J23" i="36" s="1"/>
  <c r="H24" i="36"/>
  <c r="I24" i="36" s="1"/>
  <c r="J24" i="36" s="1"/>
  <c r="H25" i="36"/>
  <c r="I25" i="36" s="1"/>
  <c r="J25" i="36" s="1"/>
  <c r="H26" i="36"/>
  <c r="I26" i="36" s="1"/>
  <c r="J26" i="36" s="1"/>
  <c r="H27" i="36"/>
  <c r="I27" i="36" s="1"/>
  <c r="J27" i="36" s="1"/>
  <c r="H28" i="36"/>
  <c r="I28" i="36" s="1"/>
  <c r="J28" i="36" s="1"/>
  <c r="H29" i="36"/>
  <c r="I29" i="36" s="1"/>
  <c r="J29" i="36" s="1"/>
  <c r="H30" i="36"/>
  <c r="I30" i="36" s="1"/>
  <c r="J30" i="36" s="1"/>
  <c r="H31" i="36"/>
  <c r="I31" i="36" s="1"/>
  <c r="J31" i="36" s="1"/>
  <c r="I32" i="36"/>
  <c r="J32" i="36" s="1"/>
  <c r="I33" i="36"/>
  <c r="J33" i="36" s="1"/>
  <c r="I34" i="36"/>
  <c r="J34" i="36" s="1"/>
  <c r="I35" i="36"/>
  <c r="J35" i="36" s="1"/>
  <c r="I36" i="36"/>
  <c r="J36" i="36" s="1"/>
  <c r="I37" i="36"/>
  <c r="J37" i="36" s="1"/>
  <c r="I38" i="36"/>
  <c r="J38" i="36" s="1"/>
  <c r="I39" i="36"/>
  <c r="J39" i="36" s="1"/>
  <c r="I40" i="36"/>
  <c r="J40" i="36" s="1"/>
  <c r="I41" i="36"/>
  <c r="J41" i="36" s="1"/>
  <c r="I42" i="36"/>
  <c r="J42" i="36" s="1"/>
  <c r="I43" i="36"/>
  <c r="J43" i="36" s="1"/>
  <c r="I44" i="36"/>
  <c r="J44" i="36" s="1"/>
  <c r="I45" i="36"/>
  <c r="J45" i="36" s="1"/>
  <c r="I46" i="36"/>
  <c r="J46" i="36" s="1"/>
  <c r="I47" i="36"/>
  <c r="J47" i="36" s="1"/>
  <c r="I48" i="36"/>
  <c r="J48" i="36" s="1"/>
  <c r="I49" i="36"/>
  <c r="J49" i="36" s="1"/>
  <c r="I50" i="36"/>
  <c r="J50" i="36" s="1"/>
  <c r="I51" i="36"/>
  <c r="J51" i="36" s="1"/>
  <c r="I52" i="36"/>
  <c r="J52" i="36" s="1"/>
  <c r="I53" i="36"/>
  <c r="J53" i="36" s="1"/>
  <c r="I54" i="36"/>
  <c r="J54" i="36" s="1"/>
  <c r="I55" i="36"/>
  <c r="J55" i="36" s="1"/>
  <c r="I56" i="36"/>
  <c r="J56" i="36" s="1"/>
  <c r="I57" i="36"/>
  <c r="J57" i="36" s="1"/>
  <c r="I58" i="36"/>
  <c r="J58" i="36" s="1"/>
  <c r="I59" i="36"/>
  <c r="J59" i="36" s="1"/>
  <c r="I60" i="36"/>
  <c r="J60" i="36" s="1"/>
  <c r="I61" i="36"/>
  <c r="J61" i="36" s="1"/>
  <c r="I62" i="36"/>
  <c r="J62" i="36" s="1"/>
  <c r="I63" i="36"/>
  <c r="J63" i="36" s="1"/>
  <c r="I64" i="36"/>
  <c r="J64" i="36" s="1"/>
  <c r="I65" i="36"/>
  <c r="J65" i="36" s="1"/>
  <c r="I66" i="36"/>
  <c r="J66" i="36" s="1"/>
  <c r="I67" i="36"/>
  <c r="J67" i="36" s="1"/>
  <c r="I68" i="36"/>
  <c r="J68" i="36" s="1"/>
  <c r="I69" i="36"/>
  <c r="J69" i="36" s="1"/>
  <c r="I70" i="36"/>
  <c r="J70" i="36" s="1"/>
  <c r="I71" i="36"/>
  <c r="J71" i="36" s="1"/>
  <c r="I72" i="36"/>
  <c r="J72" i="36" s="1"/>
  <c r="I73" i="36"/>
  <c r="J73" i="36" s="1"/>
  <c r="I74" i="36"/>
  <c r="J74" i="36" s="1"/>
  <c r="I75" i="36"/>
  <c r="J75" i="36" s="1"/>
  <c r="I76" i="36"/>
  <c r="J76" i="36" s="1"/>
  <c r="I77" i="36"/>
  <c r="J77" i="36" s="1"/>
  <c r="I78" i="36"/>
  <c r="J78" i="36" s="1"/>
  <c r="I79" i="36"/>
  <c r="J79" i="36" s="1"/>
  <c r="I80" i="36"/>
  <c r="J80" i="36" s="1"/>
  <c r="I81" i="36"/>
  <c r="J81" i="36" s="1"/>
  <c r="I82" i="36"/>
  <c r="J82" i="36" s="1"/>
  <c r="I83" i="36"/>
  <c r="J83" i="36" s="1"/>
  <c r="I84" i="36"/>
  <c r="J84" i="36" s="1"/>
  <c r="I85" i="36"/>
  <c r="J85" i="36" s="1"/>
  <c r="I86" i="36"/>
  <c r="J86" i="36" s="1"/>
  <c r="I87" i="36"/>
  <c r="J87" i="36" s="1"/>
  <c r="I88" i="36"/>
  <c r="J88" i="36" s="1"/>
  <c r="I89" i="36"/>
  <c r="J89" i="36" s="1"/>
  <c r="I90" i="36"/>
  <c r="J90" i="36" s="1"/>
  <c r="I91" i="36"/>
  <c r="J91" i="36" s="1"/>
  <c r="I92" i="36"/>
  <c r="J92" i="36" s="1"/>
  <c r="I93" i="36"/>
  <c r="J93" i="36" s="1"/>
  <c r="I94" i="36"/>
  <c r="J94" i="36" s="1"/>
  <c r="I95" i="36"/>
  <c r="J95" i="36" s="1"/>
  <c r="I96" i="36"/>
  <c r="J96" i="36" s="1"/>
  <c r="I97" i="36"/>
  <c r="J97" i="36" s="1"/>
  <c r="I98" i="36"/>
  <c r="J98" i="36" s="1"/>
  <c r="I99" i="36"/>
  <c r="J99" i="36" s="1"/>
  <c r="I100" i="36"/>
  <c r="J100" i="36" s="1"/>
  <c r="I101" i="36"/>
  <c r="J101" i="36" s="1"/>
  <c r="I102" i="36"/>
  <c r="J102" i="36" s="1"/>
  <c r="I103" i="36"/>
  <c r="J103" i="36" s="1"/>
  <c r="I104" i="36"/>
  <c r="J104" i="36" s="1"/>
  <c r="H124" i="36"/>
  <c r="I124" i="36" s="1"/>
  <c r="J124" i="36" s="1"/>
  <c r="H125" i="36"/>
  <c r="I125" i="36" s="1"/>
  <c r="J125" i="36" s="1"/>
  <c r="H126" i="36"/>
  <c r="I126" i="36" s="1"/>
  <c r="J126" i="36" s="1"/>
  <c r="H127" i="36"/>
  <c r="I127" i="36" s="1"/>
  <c r="J127" i="36" s="1"/>
  <c r="H128" i="36"/>
  <c r="I128" i="36" s="1"/>
  <c r="J128" i="36" s="1"/>
  <c r="H129" i="36"/>
  <c r="I129" i="36" s="1"/>
  <c r="J129" i="36" s="1"/>
  <c r="H130" i="36"/>
  <c r="I130" i="36" s="1"/>
  <c r="J130" i="36" s="1"/>
  <c r="H131" i="36"/>
  <c r="I131" i="36" s="1"/>
  <c r="J131" i="36" s="1"/>
  <c r="H132" i="36"/>
  <c r="I132" i="36" s="1"/>
  <c r="J132" i="36" s="1"/>
  <c r="H133" i="36"/>
  <c r="I133" i="36" s="1"/>
  <c r="J133" i="36" s="1"/>
  <c r="H134" i="36"/>
  <c r="I134" i="36" s="1"/>
  <c r="J134" i="36" s="1"/>
  <c r="H135" i="36"/>
  <c r="I135" i="36" s="1"/>
  <c r="J135" i="36" s="1"/>
  <c r="H136" i="36"/>
  <c r="I136" i="36" s="1"/>
  <c r="J136" i="36" s="1"/>
  <c r="H137" i="36"/>
  <c r="I137" i="36" s="1"/>
  <c r="J137" i="36" s="1"/>
  <c r="H138" i="36"/>
  <c r="I138" i="36" s="1"/>
  <c r="J138" i="36" s="1"/>
  <c r="H139" i="36"/>
  <c r="I139" i="36" s="1"/>
  <c r="J139" i="36" s="1"/>
  <c r="H140" i="36"/>
  <c r="I140" i="36" s="1"/>
  <c r="J140" i="36" s="1"/>
  <c r="H141" i="36"/>
  <c r="I141" i="36" s="1"/>
  <c r="J141" i="36" s="1"/>
  <c r="H142" i="36"/>
  <c r="I142" i="36" s="1"/>
  <c r="J142" i="36" s="1"/>
  <c r="H143" i="36"/>
  <c r="I143" i="36" s="1"/>
  <c r="J143" i="36" s="1"/>
  <c r="H144" i="36"/>
  <c r="I144" i="36" s="1"/>
  <c r="J144" i="36" s="1"/>
  <c r="H145" i="36"/>
  <c r="I145" i="36" s="1"/>
  <c r="J145" i="36" s="1"/>
  <c r="H146" i="36"/>
  <c r="I146" i="36" s="1"/>
  <c r="J146" i="36" s="1"/>
  <c r="H147" i="36"/>
  <c r="I147" i="36" s="1"/>
  <c r="J147" i="36" s="1"/>
  <c r="H148" i="36"/>
  <c r="I148" i="36" s="1"/>
  <c r="J148" i="36" s="1"/>
  <c r="H149" i="36"/>
  <c r="I149" i="36" s="1"/>
  <c r="J149" i="36" s="1"/>
  <c r="H150" i="36"/>
  <c r="I150" i="36" s="1"/>
  <c r="J150" i="36" s="1"/>
  <c r="H151" i="36"/>
  <c r="I151" i="36" s="1"/>
  <c r="J151" i="36" s="1"/>
  <c r="H152" i="36"/>
  <c r="I152" i="36" s="1"/>
  <c r="J152" i="36" s="1"/>
  <c r="H153" i="36"/>
  <c r="I153" i="36" s="1"/>
  <c r="J153" i="36" s="1"/>
  <c r="H154" i="36"/>
  <c r="I154" i="36" s="1"/>
  <c r="J154" i="36" s="1"/>
  <c r="H155" i="36"/>
  <c r="I155" i="36" s="1"/>
  <c r="J155" i="36" s="1"/>
  <c r="H156" i="36"/>
  <c r="I156" i="36" s="1"/>
  <c r="J156" i="36" s="1"/>
  <c r="H157" i="36"/>
  <c r="I157" i="36" s="1"/>
  <c r="J157" i="36" s="1"/>
  <c r="H158" i="36"/>
  <c r="I158" i="36" s="1"/>
  <c r="J158" i="36" s="1"/>
  <c r="H159" i="36"/>
  <c r="I159" i="36" s="1"/>
  <c r="J159" i="36" s="1"/>
  <c r="H186" i="35"/>
  <c r="I186" i="35" s="1"/>
  <c r="J186" i="35" s="1"/>
  <c r="H188" i="35"/>
  <c r="I188" i="35"/>
  <c r="J188" i="35" s="1"/>
  <c r="H190" i="35"/>
  <c r="I190" i="35"/>
  <c r="J190" i="35" s="1"/>
  <c r="H192" i="35"/>
  <c r="I192" i="35"/>
  <c r="J192" i="35" s="1"/>
  <c r="H194" i="35"/>
  <c r="I194" i="35"/>
  <c r="J194" i="35" s="1"/>
  <c r="H196" i="35"/>
  <c r="I196" i="35"/>
  <c r="J196" i="35" s="1"/>
  <c r="H198" i="35"/>
  <c r="I198" i="35"/>
  <c r="J198" i="35" s="1"/>
  <c r="H200" i="35"/>
  <c r="I200" i="35"/>
  <c r="J200" i="35" s="1"/>
  <c r="H202" i="35"/>
  <c r="I202" i="35"/>
  <c r="J202" i="35" s="1"/>
  <c r="H204" i="35"/>
  <c r="I204" i="35"/>
  <c r="J204" i="35" s="1"/>
  <c r="H206" i="35"/>
  <c r="I206" i="35"/>
  <c r="J206" i="35" s="1"/>
  <c r="H208" i="35"/>
  <c r="I208" i="35"/>
  <c r="J208" i="35" s="1"/>
  <c r="H210" i="35"/>
  <c r="I210" i="35"/>
  <c r="J210" i="35" s="1"/>
  <c r="H212" i="35"/>
  <c r="I212" i="35"/>
  <c r="J212" i="35" s="1"/>
  <c r="H214" i="35"/>
  <c r="I214" i="35"/>
  <c r="J214" i="35" s="1"/>
  <c r="H216" i="35"/>
  <c r="I216" i="35"/>
  <c r="J216" i="35" s="1"/>
  <c r="H218" i="35"/>
  <c r="I218" i="35"/>
  <c r="J218" i="35" s="1"/>
  <c r="H220" i="35"/>
  <c r="I220" i="35"/>
  <c r="J220" i="35" s="1"/>
  <c r="H222" i="35"/>
  <c r="I222" i="35"/>
  <c r="J222" i="35" s="1"/>
  <c r="H224" i="35"/>
  <c r="I224" i="35"/>
  <c r="J224" i="35" s="1"/>
  <c r="H226" i="35"/>
  <c r="I226" i="35"/>
  <c r="J226" i="35" s="1"/>
  <c r="H228" i="35"/>
  <c r="I228" i="35"/>
  <c r="J228" i="35" s="1"/>
  <c r="H230" i="35"/>
  <c r="I230" i="35"/>
  <c r="J230" i="35" s="1"/>
  <c r="H232" i="35"/>
  <c r="I232" i="35"/>
  <c r="J232" i="35" s="1"/>
  <c r="H234" i="35"/>
  <c r="I234" i="35"/>
  <c r="J234" i="35" s="1"/>
  <c r="H236" i="35"/>
  <c r="I236" i="35"/>
  <c r="J236" i="35" s="1"/>
  <c r="H238" i="35"/>
  <c r="I238" i="35"/>
  <c r="J238" i="35" s="1"/>
  <c r="I3" i="35"/>
  <c r="J3" i="35" s="1"/>
  <c r="I4" i="35"/>
  <c r="J4" i="35" s="1"/>
  <c r="I5" i="35"/>
  <c r="J5" i="35" s="1"/>
  <c r="I6" i="35"/>
  <c r="J6" i="35" s="1"/>
  <c r="I7" i="35"/>
  <c r="J7" i="35" s="1"/>
  <c r="I8" i="35"/>
  <c r="J8" i="35" s="1"/>
  <c r="I12" i="35"/>
  <c r="J12" i="35" s="1"/>
  <c r="I14" i="35"/>
  <c r="J14" i="35" s="1"/>
  <c r="I15" i="35"/>
  <c r="J15" i="35" s="1"/>
  <c r="I17" i="35"/>
  <c r="J17" i="35" s="1"/>
  <c r="I20" i="35"/>
  <c r="J20" i="35" s="1"/>
  <c r="I21" i="35"/>
  <c r="J21" i="35" s="1"/>
  <c r="I22" i="35"/>
  <c r="J22" i="35" s="1"/>
  <c r="I24" i="35"/>
  <c r="J24" i="35" s="1"/>
  <c r="I26" i="35"/>
  <c r="J26" i="35" s="1"/>
  <c r="I28" i="35"/>
  <c r="J28" i="35" s="1"/>
  <c r="I29" i="35"/>
  <c r="J29" i="35" s="1"/>
  <c r="I31" i="35"/>
  <c r="J31" i="35" s="1"/>
  <c r="I34" i="35"/>
  <c r="J34" i="35" s="1"/>
  <c r="I36" i="35"/>
  <c r="J36" i="35" s="1"/>
  <c r="I38" i="35"/>
  <c r="J38" i="35" s="1"/>
  <c r="I40" i="35"/>
  <c r="J40" i="35" s="1"/>
  <c r="I41" i="35"/>
  <c r="J41" i="35" s="1"/>
  <c r="I42" i="35"/>
  <c r="J42" i="35" s="1"/>
  <c r="I43" i="35"/>
  <c r="J43" i="35" s="1"/>
  <c r="I44" i="35"/>
  <c r="J44" i="35" s="1"/>
  <c r="I45" i="35"/>
  <c r="J45" i="35" s="1"/>
  <c r="I46" i="35"/>
  <c r="J46" i="35" s="1"/>
  <c r="I47" i="35"/>
  <c r="J47" i="35" s="1"/>
  <c r="I48" i="35"/>
  <c r="J48" i="35" s="1"/>
  <c r="I49" i="35"/>
  <c r="J49" i="35" s="1"/>
  <c r="I50" i="35"/>
  <c r="J50" i="35" s="1"/>
  <c r="I51" i="35"/>
  <c r="J51" i="35" s="1"/>
  <c r="I52" i="35"/>
  <c r="J52" i="35" s="1"/>
  <c r="I53" i="35"/>
  <c r="J53" i="35" s="1"/>
  <c r="I54" i="35"/>
  <c r="J54" i="35" s="1"/>
  <c r="I55" i="35"/>
  <c r="J55" i="35" s="1"/>
  <c r="I56" i="35"/>
  <c r="J56" i="35" s="1"/>
  <c r="I57" i="35"/>
  <c r="J57" i="35" s="1"/>
  <c r="I58" i="35"/>
  <c r="J58" i="35" s="1"/>
  <c r="I59" i="35"/>
  <c r="J59" i="35" s="1"/>
  <c r="I60" i="35"/>
  <c r="J60" i="35" s="1"/>
  <c r="I61" i="35"/>
  <c r="J61" i="35" s="1"/>
  <c r="I62" i="35"/>
  <c r="J62" i="35" s="1"/>
  <c r="I63" i="35"/>
  <c r="J63" i="35" s="1"/>
  <c r="I64" i="35"/>
  <c r="J64" i="35" s="1"/>
  <c r="I65" i="35"/>
  <c r="J65" i="35" s="1"/>
  <c r="I66" i="35"/>
  <c r="J66" i="35" s="1"/>
  <c r="I67" i="35"/>
  <c r="J67" i="35" s="1"/>
  <c r="I68" i="35"/>
  <c r="J68" i="35" s="1"/>
  <c r="I69" i="35"/>
  <c r="J69" i="35" s="1"/>
  <c r="I70" i="35"/>
  <c r="J70" i="35" s="1"/>
  <c r="I71" i="35"/>
  <c r="J71" i="35" s="1"/>
  <c r="I72" i="35"/>
  <c r="J72" i="35" s="1"/>
  <c r="I73" i="35"/>
  <c r="J73" i="35" s="1"/>
  <c r="I74" i="35"/>
  <c r="J74" i="35" s="1"/>
  <c r="I75" i="35"/>
  <c r="J75" i="35" s="1"/>
  <c r="I76" i="35"/>
  <c r="J76" i="35" s="1"/>
  <c r="I77" i="35"/>
  <c r="J77" i="35" s="1"/>
  <c r="I78" i="35"/>
  <c r="J78" i="35" s="1"/>
  <c r="I120" i="35"/>
  <c r="J120" i="35" s="1"/>
  <c r="I121" i="35"/>
  <c r="J121" i="35" s="1"/>
  <c r="I122" i="35"/>
  <c r="J122" i="35" s="1"/>
  <c r="I123" i="35"/>
  <c r="J123" i="35" s="1"/>
  <c r="I124" i="35"/>
  <c r="J124" i="35" s="1"/>
  <c r="I125" i="35"/>
  <c r="J125" i="35" s="1"/>
  <c r="I126" i="35"/>
  <c r="J126" i="35" s="1"/>
  <c r="I127" i="35"/>
  <c r="J127" i="35" s="1"/>
  <c r="I128" i="35"/>
  <c r="J128" i="35" s="1"/>
  <c r="I129" i="35"/>
  <c r="J129" i="35" s="1"/>
  <c r="I130" i="35"/>
  <c r="J130" i="35" s="1"/>
  <c r="I131" i="35"/>
  <c r="J131" i="35" s="1"/>
  <c r="I132" i="35"/>
  <c r="J132" i="35" s="1"/>
  <c r="I133" i="35"/>
  <c r="J133" i="35" s="1"/>
  <c r="I134" i="35"/>
  <c r="J134" i="35" s="1"/>
  <c r="I135" i="35"/>
  <c r="J135" i="35" s="1"/>
  <c r="I136" i="35"/>
  <c r="J136" i="35" s="1"/>
  <c r="I137" i="35"/>
  <c r="J137" i="35" s="1"/>
  <c r="I138" i="35"/>
  <c r="J138" i="35" s="1"/>
  <c r="I139" i="35"/>
  <c r="J139" i="35" s="1"/>
  <c r="I140" i="35"/>
  <c r="J140" i="35" s="1"/>
  <c r="I141" i="35"/>
  <c r="J141" i="35" s="1"/>
  <c r="I142" i="35"/>
  <c r="J142" i="35" s="1"/>
  <c r="I143" i="35"/>
  <c r="J143" i="35" s="1"/>
  <c r="I144" i="35"/>
  <c r="J144" i="35" s="1"/>
  <c r="I145" i="35"/>
  <c r="J145" i="35" s="1"/>
  <c r="I146" i="35"/>
  <c r="J146" i="35" s="1"/>
  <c r="I147" i="35"/>
  <c r="J147" i="35" s="1"/>
  <c r="I148" i="35"/>
  <c r="J148" i="35" s="1"/>
  <c r="I149" i="35"/>
  <c r="J149" i="35" s="1"/>
  <c r="I150" i="35"/>
  <c r="J150" i="35" s="1"/>
  <c r="I151" i="35"/>
  <c r="J151" i="35" s="1"/>
  <c r="I152" i="35"/>
  <c r="J152" i="35" s="1"/>
  <c r="I153" i="35"/>
  <c r="J153" i="35" s="1"/>
  <c r="I154" i="35"/>
  <c r="J154" i="35" s="1"/>
  <c r="I155" i="35"/>
  <c r="J155" i="35" s="1"/>
  <c r="I156" i="35"/>
  <c r="J156" i="35" s="1"/>
  <c r="I157" i="35"/>
  <c r="J157" i="35" s="1"/>
  <c r="I158" i="35"/>
  <c r="J158" i="35" s="1"/>
  <c r="I159" i="35"/>
  <c r="J159" i="35" s="1"/>
  <c r="I160" i="35"/>
  <c r="J160" i="35" s="1"/>
  <c r="I161" i="35"/>
  <c r="J161" i="35" s="1"/>
  <c r="I162" i="35"/>
  <c r="J162" i="35" s="1"/>
  <c r="I163" i="35"/>
  <c r="J163" i="35" s="1"/>
  <c r="I164" i="35"/>
  <c r="J164" i="35" s="1"/>
  <c r="I165" i="35"/>
  <c r="J165" i="35" s="1"/>
  <c r="H185" i="35"/>
  <c r="I185" i="35"/>
  <c r="J185" i="35" s="1"/>
  <c r="H187" i="35"/>
  <c r="I187" i="35"/>
  <c r="J187" i="35" s="1"/>
  <c r="H189" i="35"/>
  <c r="I189" i="35"/>
  <c r="J189" i="35" s="1"/>
  <c r="H191" i="35"/>
  <c r="I191" i="35"/>
  <c r="J191" i="35" s="1"/>
  <c r="H193" i="35"/>
  <c r="I193" i="35"/>
  <c r="J193" i="35" s="1"/>
  <c r="H195" i="35"/>
  <c r="I195" i="35"/>
  <c r="J195" i="35" s="1"/>
  <c r="H197" i="35"/>
  <c r="I197" i="35"/>
  <c r="J197" i="35" s="1"/>
  <c r="H199" i="35"/>
  <c r="I199" i="35"/>
  <c r="J199" i="35" s="1"/>
  <c r="H201" i="35"/>
  <c r="I201" i="35"/>
  <c r="J201" i="35" s="1"/>
  <c r="H203" i="35"/>
  <c r="I203" i="35"/>
  <c r="J203" i="35" s="1"/>
  <c r="H205" i="35"/>
  <c r="I205" i="35"/>
  <c r="J205" i="35" s="1"/>
  <c r="H207" i="35"/>
  <c r="I207" i="35"/>
  <c r="J207" i="35" s="1"/>
  <c r="H209" i="35"/>
  <c r="I209" i="35"/>
  <c r="J209" i="35" s="1"/>
  <c r="H211" i="35"/>
  <c r="I211" i="35"/>
  <c r="J211" i="35" s="1"/>
  <c r="H213" i="35"/>
  <c r="I213" i="35"/>
  <c r="J213" i="35" s="1"/>
  <c r="H215" i="35"/>
  <c r="I215" i="35"/>
  <c r="J215" i="35" s="1"/>
  <c r="H217" i="35"/>
  <c r="I217" i="35"/>
  <c r="J217" i="35" s="1"/>
  <c r="H219" i="35"/>
  <c r="I219" i="35"/>
  <c r="J219" i="35" s="1"/>
  <c r="H221" i="35"/>
  <c r="I221" i="35"/>
  <c r="J221" i="35" s="1"/>
  <c r="H223" i="35"/>
  <c r="I223" i="35"/>
  <c r="J223" i="35" s="1"/>
  <c r="H225" i="35"/>
  <c r="I225" i="35"/>
  <c r="J225" i="35" s="1"/>
  <c r="H227" i="35"/>
  <c r="I227" i="35"/>
  <c r="J227" i="35" s="1"/>
  <c r="H229" i="35"/>
  <c r="I229" i="35"/>
  <c r="J229" i="35" s="1"/>
  <c r="H231" i="35"/>
  <c r="I231" i="35"/>
  <c r="J231" i="35" s="1"/>
  <c r="H233" i="35"/>
  <c r="I233" i="35"/>
  <c r="J233" i="35" s="1"/>
  <c r="H235" i="35"/>
  <c r="I235" i="35"/>
  <c r="J235" i="35" s="1"/>
  <c r="H237" i="35"/>
  <c r="I237" i="35"/>
  <c r="J237" i="35" s="1"/>
  <c r="I9" i="35"/>
  <c r="J9" i="35" s="1"/>
  <c r="I11" i="35"/>
  <c r="J11" i="35" s="1"/>
  <c r="I13" i="35"/>
  <c r="J13" i="35" s="1"/>
  <c r="I16" i="35"/>
  <c r="J16" i="35" s="1"/>
  <c r="I18" i="35"/>
  <c r="J18" i="35" s="1"/>
  <c r="I19" i="35"/>
  <c r="J19" i="35" s="1"/>
  <c r="I23" i="35"/>
  <c r="J23" i="35" s="1"/>
  <c r="I25" i="35"/>
  <c r="J25" i="35" s="1"/>
  <c r="I27" i="35"/>
  <c r="J27" i="35" s="1"/>
  <c r="I30" i="35"/>
  <c r="J30" i="35" s="1"/>
  <c r="I32" i="35"/>
  <c r="J32" i="35" s="1"/>
  <c r="I33" i="35"/>
  <c r="J33" i="35" s="1"/>
  <c r="I35" i="35"/>
  <c r="J35" i="35" s="1"/>
  <c r="I37" i="35"/>
  <c r="J37" i="35" s="1"/>
  <c r="H308" i="35"/>
  <c r="I308" i="35" s="1"/>
  <c r="J308" i="35" s="1"/>
  <c r="I239" i="35"/>
  <c r="J239" i="35" s="1"/>
  <c r="I240" i="35"/>
  <c r="J240" i="35" s="1"/>
  <c r="I241" i="35"/>
  <c r="J241" i="35" s="1"/>
  <c r="I242" i="35"/>
  <c r="J242" i="35" s="1"/>
  <c r="I243" i="35"/>
  <c r="J243" i="35" s="1"/>
  <c r="I244" i="35"/>
  <c r="J244" i="35" s="1"/>
  <c r="I245" i="35"/>
  <c r="J245" i="35" s="1"/>
  <c r="I246" i="35"/>
  <c r="J246" i="35" s="1"/>
  <c r="I247" i="35"/>
  <c r="J247" i="35" s="1"/>
  <c r="I248" i="35"/>
  <c r="J248" i="35" s="1"/>
  <c r="I249" i="35"/>
  <c r="J249" i="35" s="1"/>
  <c r="I250" i="35"/>
  <c r="J250" i="35" s="1"/>
  <c r="I251" i="35"/>
  <c r="J251" i="35" s="1"/>
  <c r="I252" i="35"/>
  <c r="J252" i="35" s="1"/>
  <c r="I253" i="35"/>
  <c r="J253" i="35" s="1"/>
  <c r="I254" i="35"/>
  <c r="J254" i="35" s="1"/>
  <c r="I255" i="35"/>
  <c r="J255" i="35" s="1"/>
  <c r="I256" i="35"/>
  <c r="J256" i="35" s="1"/>
  <c r="I257" i="35"/>
  <c r="J257" i="35" s="1"/>
  <c r="I258" i="35"/>
  <c r="J258" i="35" s="1"/>
  <c r="I259" i="35"/>
  <c r="J259" i="35" s="1"/>
  <c r="I260" i="35"/>
  <c r="J260" i="35" s="1"/>
  <c r="I261" i="35"/>
  <c r="J261" i="35" s="1"/>
  <c r="I262" i="35"/>
  <c r="J262" i="35" s="1"/>
  <c r="I263" i="35"/>
  <c r="J263" i="35" s="1"/>
  <c r="I264" i="35"/>
  <c r="J264" i="35" s="1"/>
  <c r="I265" i="35"/>
  <c r="J265" i="35" s="1"/>
  <c r="I266" i="35"/>
  <c r="J266" i="35" s="1"/>
  <c r="I267" i="35"/>
  <c r="J267" i="35" s="1"/>
  <c r="I268" i="35"/>
  <c r="J268" i="35" s="1"/>
  <c r="I269" i="35"/>
  <c r="J269" i="35" s="1"/>
  <c r="I270" i="35"/>
  <c r="J270" i="35" s="1"/>
  <c r="I271" i="35"/>
  <c r="J271" i="35" s="1"/>
  <c r="I272" i="35"/>
  <c r="J272" i="35" s="1"/>
  <c r="I273" i="35"/>
  <c r="J273" i="35" s="1"/>
  <c r="I274" i="35"/>
  <c r="J274" i="35" s="1"/>
  <c r="I275" i="35"/>
  <c r="J275" i="35" s="1"/>
  <c r="I276" i="35"/>
  <c r="J276" i="35" s="1"/>
  <c r="I277" i="35"/>
  <c r="J277" i="35" s="1"/>
  <c r="I278" i="35"/>
  <c r="J278" i="35" s="1"/>
  <c r="I279" i="35"/>
  <c r="J279" i="35" s="1"/>
  <c r="I280" i="35"/>
  <c r="J280" i="35" s="1"/>
  <c r="I281" i="35"/>
  <c r="J281" i="35" s="1"/>
  <c r="I282" i="35"/>
  <c r="J282" i="35" s="1"/>
  <c r="I283" i="35"/>
  <c r="J283" i="35" s="1"/>
  <c r="I284" i="35"/>
  <c r="J284" i="35" s="1"/>
  <c r="I285" i="35"/>
  <c r="J285" i="35" s="1"/>
  <c r="I286" i="35"/>
  <c r="J286" i="35" s="1"/>
  <c r="I287" i="35"/>
  <c r="J287" i="35" s="1"/>
  <c r="I288" i="35"/>
  <c r="J288" i="35" s="1"/>
  <c r="I289" i="35"/>
  <c r="J289" i="35" s="1"/>
  <c r="I290" i="35"/>
  <c r="J290" i="35" s="1"/>
  <c r="I291" i="35"/>
  <c r="J291" i="35" s="1"/>
  <c r="I292" i="35"/>
  <c r="J292" i="35" s="1"/>
  <c r="I293" i="35"/>
  <c r="J293" i="35" s="1"/>
  <c r="I294" i="35"/>
  <c r="J294" i="35" s="1"/>
  <c r="I295" i="35"/>
  <c r="J295" i="35" s="1"/>
  <c r="I296" i="35"/>
  <c r="J296" i="35" s="1"/>
  <c r="I297" i="35"/>
  <c r="J297" i="35" s="1"/>
  <c r="I298" i="35"/>
  <c r="J298" i="35" s="1"/>
  <c r="I299" i="35"/>
  <c r="J299" i="35" s="1"/>
  <c r="I300" i="35"/>
  <c r="J300" i="35" s="1"/>
  <c r="I301" i="35"/>
  <c r="J301" i="35" s="1"/>
  <c r="I302" i="35"/>
  <c r="J302" i="35" s="1"/>
  <c r="I303" i="35"/>
  <c r="J303" i="35" s="1"/>
  <c r="I304" i="35"/>
  <c r="J304" i="35" s="1"/>
  <c r="I305" i="35"/>
  <c r="J305" i="35" s="1"/>
  <c r="I306" i="35"/>
  <c r="J306" i="35" s="1"/>
  <c r="I307" i="35"/>
  <c r="J307" i="35" s="1"/>
  <c r="H309" i="35"/>
  <c r="I309" i="35" s="1"/>
  <c r="J309" i="35" s="1"/>
  <c r="H310" i="35"/>
  <c r="I310" i="35" s="1"/>
  <c r="J310" i="35" s="1"/>
  <c r="H311" i="35"/>
  <c r="I311" i="35" s="1"/>
  <c r="J311" i="35" s="1"/>
  <c r="H312" i="35"/>
  <c r="I312" i="35" s="1"/>
  <c r="J312" i="35" s="1"/>
  <c r="H3" i="34"/>
  <c r="I3" i="34" s="1"/>
  <c r="J3" i="34" s="1"/>
  <c r="H4" i="34"/>
  <c r="I4" i="34" s="1"/>
  <c r="J4" i="34" s="1"/>
  <c r="H5" i="34"/>
  <c r="I5" i="34" s="1"/>
  <c r="J5" i="34" s="1"/>
  <c r="H6" i="34"/>
  <c r="I6" i="34" s="1"/>
  <c r="J6" i="34" s="1"/>
  <c r="H7" i="34"/>
  <c r="I7" i="34" s="1"/>
  <c r="J7" i="34" s="1"/>
  <c r="H8" i="34"/>
  <c r="I8" i="34" s="1"/>
  <c r="J8" i="34" s="1"/>
  <c r="G60" i="34" l="1"/>
  <c r="G59" i="34"/>
  <c r="H59" i="34" s="1"/>
  <c r="G58" i="34"/>
  <c r="G57" i="34"/>
  <c r="H57" i="34" s="1"/>
  <c r="G56" i="34"/>
  <c r="H56" i="34" s="1"/>
  <c r="G55" i="34"/>
  <c r="H55" i="34" s="1"/>
  <c r="I55" i="34" s="1"/>
  <c r="J55" i="34" s="1"/>
  <c r="G54" i="34"/>
  <c r="H54" i="34" s="1"/>
  <c r="G53" i="34"/>
  <c r="G52" i="34"/>
  <c r="G51" i="34"/>
  <c r="G50" i="34"/>
  <c r="H50" i="34" s="1"/>
  <c r="G49" i="34"/>
  <c r="H49" i="34" s="1"/>
  <c r="G48" i="34"/>
  <c r="H48" i="34" s="1"/>
  <c r="G47" i="34"/>
  <c r="H47" i="34" s="1"/>
  <c r="G46" i="34"/>
  <c r="G45" i="34"/>
  <c r="G44" i="34"/>
  <c r="H44" i="34" s="1"/>
  <c r="G43" i="34"/>
  <c r="G42" i="34"/>
  <c r="H42" i="34" s="1"/>
  <c r="G41" i="34"/>
  <c r="G40" i="34"/>
  <c r="H40" i="34" s="1"/>
  <c r="G39" i="34"/>
  <c r="G38" i="34"/>
  <c r="G37" i="34"/>
  <c r="H37" i="34" s="1"/>
  <c r="G36" i="34"/>
  <c r="H36" i="34" s="1"/>
  <c r="G35" i="34"/>
  <c r="G32" i="34"/>
  <c r="H32" i="34" s="1"/>
  <c r="G31" i="34"/>
  <c r="G30" i="34"/>
  <c r="H30" i="34" s="1"/>
  <c r="G29" i="34"/>
  <c r="H29" i="34" s="1"/>
  <c r="G28" i="34"/>
  <c r="G27" i="34"/>
  <c r="H27" i="34" s="1"/>
  <c r="G26" i="34"/>
  <c r="G25" i="34"/>
  <c r="H25" i="34" s="1"/>
  <c r="G24" i="34"/>
  <c r="H24" i="34" s="1"/>
  <c r="G23" i="34"/>
  <c r="G22" i="34"/>
  <c r="H22" i="34" s="1"/>
  <c r="G21" i="34"/>
  <c r="G20" i="34"/>
  <c r="H20" i="34" s="1"/>
  <c r="G19" i="34"/>
  <c r="G18" i="34"/>
  <c r="H18" i="34" s="1"/>
  <c r="G17" i="34"/>
  <c r="G16" i="34"/>
  <c r="G15" i="34"/>
  <c r="G14" i="34"/>
  <c r="G13" i="34"/>
  <c r="G12" i="34"/>
  <c r="H12" i="34" s="1"/>
  <c r="G11" i="34"/>
  <c r="G9" i="34"/>
  <c r="G68" i="33"/>
  <c r="G67" i="33"/>
  <c r="G66" i="33"/>
  <c r="G65" i="33"/>
  <c r="G64" i="33"/>
  <c r="G63" i="33"/>
  <c r="G62" i="33"/>
  <c r="G61" i="33"/>
  <c r="G60" i="33"/>
  <c r="G59" i="33"/>
  <c r="G58" i="33"/>
  <c r="G57" i="33"/>
  <c r="G56" i="33"/>
  <c r="G55" i="33"/>
  <c r="G54" i="33"/>
  <c r="G53" i="33"/>
  <c r="G52" i="33"/>
  <c r="G51" i="33"/>
  <c r="G50" i="33"/>
  <c r="G49" i="33"/>
  <c r="G48" i="33"/>
  <c r="G47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G32" i="33"/>
  <c r="G31" i="33"/>
  <c r="G30" i="33"/>
  <c r="G29" i="33"/>
  <c r="G4" i="33"/>
  <c r="H4" i="33" s="1"/>
  <c r="I4" i="33" s="1"/>
  <c r="J4" i="33" s="1"/>
  <c r="G5" i="33"/>
  <c r="H5" i="33" s="1"/>
  <c r="I5" i="33" s="1"/>
  <c r="J5" i="33" s="1"/>
  <c r="G6" i="33"/>
  <c r="H6" i="33" s="1"/>
  <c r="I6" i="33" s="1"/>
  <c r="J6" i="33" s="1"/>
  <c r="G7" i="33"/>
  <c r="H7" i="33" s="1"/>
  <c r="I7" i="33" s="1"/>
  <c r="J7" i="33" s="1"/>
  <c r="G8" i="33"/>
  <c r="H8" i="33" s="1"/>
  <c r="I8" i="33" s="1"/>
  <c r="J8" i="33" s="1"/>
  <c r="G9" i="33"/>
  <c r="H9" i="33" s="1"/>
  <c r="I9" i="33" s="1"/>
  <c r="J9" i="33" s="1"/>
  <c r="G11" i="33"/>
  <c r="H11" i="33" s="1"/>
  <c r="I11" i="33" s="1"/>
  <c r="J11" i="33" s="1"/>
  <c r="G12" i="33"/>
  <c r="H12" i="33" s="1"/>
  <c r="I12" i="33" s="1"/>
  <c r="J12" i="33" s="1"/>
  <c r="G13" i="33"/>
  <c r="H13" i="33" s="1"/>
  <c r="I13" i="33" s="1"/>
  <c r="J13" i="33" s="1"/>
  <c r="G14" i="33"/>
  <c r="H14" i="33" s="1"/>
  <c r="I14" i="33" s="1"/>
  <c r="J14" i="33" s="1"/>
  <c r="G15" i="33"/>
  <c r="H15" i="33" s="1"/>
  <c r="I15" i="33" s="1"/>
  <c r="J15" i="33" s="1"/>
  <c r="G16" i="33"/>
  <c r="H16" i="33" s="1"/>
  <c r="I16" i="33" s="1"/>
  <c r="J16" i="33" s="1"/>
  <c r="G17" i="33"/>
  <c r="H17" i="33" s="1"/>
  <c r="I17" i="33" s="1"/>
  <c r="J17" i="33" s="1"/>
  <c r="G18" i="33"/>
  <c r="H18" i="33" s="1"/>
  <c r="I18" i="33" s="1"/>
  <c r="J18" i="33" s="1"/>
  <c r="G19" i="33"/>
  <c r="H19" i="33" s="1"/>
  <c r="I19" i="33" s="1"/>
  <c r="J19" i="33" s="1"/>
  <c r="G20" i="33"/>
  <c r="H20" i="33" s="1"/>
  <c r="I20" i="33" s="1"/>
  <c r="J20" i="33" s="1"/>
  <c r="G21" i="33"/>
  <c r="H21" i="33" s="1"/>
  <c r="I21" i="33" s="1"/>
  <c r="J21" i="33" s="1"/>
  <c r="G22" i="33"/>
  <c r="H22" i="33" s="1"/>
  <c r="I22" i="33" s="1"/>
  <c r="J22" i="33" s="1"/>
  <c r="G23" i="33"/>
  <c r="H23" i="33" s="1"/>
  <c r="I23" i="33" s="1"/>
  <c r="J23" i="33" s="1"/>
  <c r="G24" i="33"/>
  <c r="H24" i="33" s="1"/>
  <c r="I24" i="33" s="1"/>
  <c r="J24" i="33" s="1"/>
  <c r="G25" i="33"/>
  <c r="H25" i="33" s="1"/>
  <c r="I25" i="33" s="1"/>
  <c r="J25" i="33" s="1"/>
  <c r="G26" i="33"/>
  <c r="H26" i="33" s="1"/>
  <c r="I26" i="33" s="1"/>
  <c r="J26" i="33" s="1"/>
  <c r="G27" i="33"/>
  <c r="H27" i="33" s="1"/>
  <c r="I27" i="33" s="1"/>
  <c r="J27" i="33" s="1"/>
  <c r="G28" i="33"/>
  <c r="H28" i="33" s="1"/>
  <c r="G239" i="33"/>
  <c r="J239" i="33" s="1"/>
  <c r="G238" i="33"/>
  <c r="J238" i="33" s="1"/>
  <c r="G237" i="33"/>
  <c r="J237" i="33" s="1"/>
  <c r="G236" i="33"/>
  <c r="J236" i="33" s="1"/>
  <c r="G235" i="33"/>
  <c r="J235" i="33" s="1"/>
  <c r="G234" i="33"/>
  <c r="J234" i="33" s="1"/>
  <c r="G233" i="33"/>
  <c r="J233" i="33" s="1"/>
  <c r="G232" i="33"/>
  <c r="J232" i="33" s="1"/>
  <c r="G231" i="33"/>
  <c r="J231" i="33" s="1"/>
  <c r="G230" i="33"/>
  <c r="J230" i="33" s="1"/>
  <c r="G229" i="33"/>
  <c r="J229" i="33" s="1"/>
  <c r="G228" i="33"/>
  <c r="J228" i="33" s="1"/>
  <c r="G227" i="33"/>
  <c r="J227" i="33" s="1"/>
  <c r="G226" i="33"/>
  <c r="J226" i="33" s="1"/>
  <c r="G225" i="33"/>
  <c r="J225" i="33" s="1"/>
  <c r="G224" i="33"/>
  <c r="J224" i="33" s="1"/>
  <c r="G223" i="33"/>
  <c r="J223" i="33" s="1"/>
  <c r="G222" i="33"/>
  <c r="J222" i="33" s="1"/>
  <c r="G221" i="33"/>
  <c r="J221" i="33" s="1"/>
  <c r="G220" i="33"/>
  <c r="J220" i="33" s="1"/>
  <c r="G219" i="33"/>
  <c r="J219" i="33" s="1"/>
  <c r="G218" i="33"/>
  <c r="J218" i="33" s="1"/>
  <c r="G217" i="33"/>
  <c r="J217" i="33" s="1"/>
  <c r="G216" i="33"/>
  <c r="J216" i="33" s="1"/>
  <c r="G215" i="33"/>
  <c r="J215" i="33" s="1"/>
  <c r="G214" i="33"/>
  <c r="J214" i="33" s="1"/>
  <c r="G213" i="33"/>
  <c r="J213" i="33" s="1"/>
  <c r="G212" i="33"/>
  <c r="J212" i="33" s="1"/>
  <c r="G211" i="33"/>
  <c r="J211" i="33" s="1"/>
  <c r="G210" i="33"/>
  <c r="J210" i="33" s="1"/>
  <c r="G209" i="33"/>
  <c r="J209" i="33" s="1"/>
  <c r="G208" i="33"/>
  <c r="J208" i="33" s="1"/>
  <c r="G207" i="33"/>
  <c r="J207" i="33" s="1"/>
  <c r="G206" i="33"/>
  <c r="J206" i="33" s="1"/>
  <c r="G205" i="33"/>
  <c r="J205" i="33" s="1"/>
  <c r="G204" i="33"/>
  <c r="J204" i="33" s="1"/>
  <c r="G203" i="33"/>
  <c r="J203" i="33" s="1"/>
  <c r="G202" i="33"/>
  <c r="J202" i="33" s="1"/>
  <c r="G201" i="33"/>
  <c r="J201" i="33" s="1"/>
  <c r="G200" i="33"/>
  <c r="J200" i="33" s="1"/>
  <c r="G199" i="33"/>
  <c r="J199" i="33" s="1"/>
  <c r="G198" i="33"/>
  <c r="J198" i="33" s="1"/>
  <c r="G197" i="33"/>
  <c r="J197" i="33" s="1"/>
  <c r="G196" i="33"/>
  <c r="J196" i="33" s="1"/>
  <c r="G195" i="33"/>
  <c r="J195" i="33" s="1"/>
  <c r="G194" i="33"/>
  <c r="J194" i="33" s="1"/>
  <c r="G193" i="33"/>
  <c r="J193" i="33" s="1"/>
  <c r="G192" i="33"/>
  <c r="J192" i="33" s="1"/>
  <c r="G191" i="33"/>
  <c r="J191" i="33" s="1"/>
  <c r="G190" i="33"/>
  <c r="J190" i="33" s="1"/>
  <c r="G189" i="33"/>
  <c r="J189" i="33" s="1"/>
  <c r="G188" i="33"/>
  <c r="J188" i="33" s="1"/>
  <c r="G187" i="33"/>
  <c r="J187" i="33" s="1"/>
  <c r="G186" i="33"/>
  <c r="J186" i="33" s="1"/>
  <c r="G185" i="33"/>
  <c r="J185" i="33" s="1"/>
  <c r="G184" i="33"/>
  <c r="J184" i="33" s="1"/>
  <c r="G183" i="33"/>
  <c r="J183" i="33" s="1"/>
  <c r="G182" i="33"/>
  <c r="J182" i="33" s="1"/>
  <c r="G181" i="33"/>
  <c r="J181" i="33" s="1"/>
  <c r="G180" i="33"/>
  <c r="J180" i="33" s="1"/>
  <c r="G179" i="33"/>
  <c r="J179" i="33" s="1"/>
  <c r="G178" i="33"/>
  <c r="J178" i="33" s="1"/>
  <c r="G177" i="33"/>
  <c r="J177" i="33" s="1"/>
  <c r="G176" i="33"/>
  <c r="J176" i="33" s="1"/>
  <c r="G175" i="33"/>
  <c r="J175" i="33" s="1"/>
  <c r="G174" i="33"/>
  <c r="J174" i="33" s="1"/>
  <c r="G173" i="33"/>
  <c r="J173" i="33" s="1"/>
  <c r="G172" i="33"/>
  <c r="J172" i="33" s="1"/>
  <c r="G171" i="33"/>
  <c r="J171" i="33" s="1"/>
  <c r="G170" i="33"/>
  <c r="J170" i="33" s="1"/>
  <c r="G169" i="33"/>
  <c r="J169" i="33" s="1"/>
  <c r="G168" i="33"/>
  <c r="J168" i="33" s="1"/>
  <c r="G167" i="33"/>
  <c r="J167" i="33" s="1"/>
  <c r="G166" i="33"/>
  <c r="J166" i="33" s="1"/>
  <c r="G165" i="33"/>
  <c r="J165" i="33" s="1"/>
  <c r="G164" i="33"/>
  <c r="J164" i="33" s="1"/>
  <c r="G163" i="33"/>
  <c r="J163" i="33" s="1"/>
  <c r="G162" i="33"/>
  <c r="J162" i="33" s="1"/>
  <c r="G161" i="33"/>
  <c r="J161" i="33" s="1"/>
  <c r="G160" i="33"/>
  <c r="J160" i="33" s="1"/>
  <c r="G159" i="33"/>
  <c r="J159" i="33" s="1"/>
  <c r="G158" i="33"/>
  <c r="J158" i="33" s="1"/>
  <c r="G157" i="33"/>
  <c r="J157" i="33" s="1"/>
  <c r="G156" i="33"/>
  <c r="J156" i="33" s="1"/>
  <c r="G155" i="33"/>
  <c r="J155" i="33" s="1"/>
  <c r="G154" i="33"/>
  <c r="J154" i="33" s="1"/>
  <c r="G153" i="33"/>
  <c r="J153" i="33" s="1"/>
  <c r="G152" i="33"/>
  <c r="J152" i="33" s="1"/>
  <c r="G151" i="33"/>
  <c r="J151" i="33" s="1"/>
  <c r="G150" i="33"/>
  <c r="J150" i="33" s="1"/>
  <c r="G149" i="33"/>
  <c r="J149" i="33" s="1"/>
  <c r="G148" i="33"/>
  <c r="J148" i="33" s="1"/>
  <c r="G147" i="33"/>
  <c r="J147" i="33" s="1"/>
  <c r="G146" i="33"/>
  <c r="J146" i="33" s="1"/>
  <c r="G145" i="33"/>
  <c r="J145" i="33" s="1"/>
  <c r="G144" i="33"/>
  <c r="J144" i="33" s="1"/>
  <c r="G143" i="33"/>
  <c r="J143" i="33" s="1"/>
  <c r="G142" i="33"/>
  <c r="J142" i="33" s="1"/>
  <c r="G141" i="33"/>
  <c r="J141" i="33" s="1"/>
  <c r="G140" i="33"/>
  <c r="J140" i="33" s="1"/>
  <c r="G139" i="33"/>
  <c r="J139" i="33" s="1"/>
  <c r="G138" i="33"/>
  <c r="J138" i="33" s="1"/>
  <c r="G137" i="33"/>
  <c r="J137" i="33" s="1"/>
  <c r="G136" i="33"/>
  <c r="J136" i="33" s="1"/>
  <c r="G135" i="33"/>
  <c r="J135" i="33" s="1"/>
  <c r="G134" i="33"/>
  <c r="J134" i="33" s="1"/>
  <c r="G133" i="33"/>
  <c r="J133" i="33" s="1"/>
  <c r="G132" i="33"/>
  <c r="J132" i="33" s="1"/>
  <c r="G131" i="33"/>
  <c r="J131" i="33" s="1"/>
  <c r="G130" i="33"/>
  <c r="J130" i="33" s="1"/>
  <c r="G129" i="33"/>
  <c r="J129" i="33" s="1"/>
  <c r="G128" i="33"/>
  <c r="J128" i="33" s="1"/>
  <c r="G127" i="33"/>
  <c r="J127" i="33" s="1"/>
  <c r="G126" i="33"/>
  <c r="J126" i="33" s="1"/>
  <c r="G125" i="33"/>
  <c r="J125" i="33" s="1"/>
  <c r="G124" i="33"/>
  <c r="J124" i="33" s="1"/>
  <c r="G123" i="33"/>
  <c r="J123" i="33" s="1"/>
  <c r="G122" i="33"/>
  <c r="J122" i="33" s="1"/>
  <c r="G121" i="33"/>
  <c r="J121" i="33" s="1"/>
  <c r="G120" i="33"/>
  <c r="J120" i="33" s="1"/>
  <c r="G119" i="33"/>
  <c r="J119" i="33" s="1"/>
  <c r="G118" i="33"/>
  <c r="J118" i="33" s="1"/>
  <c r="G117" i="33"/>
  <c r="J117" i="33" s="1"/>
  <c r="G116" i="33"/>
  <c r="J116" i="33" s="1"/>
  <c r="G115" i="33"/>
  <c r="J115" i="33" s="1"/>
  <c r="G114" i="33"/>
  <c r="J114" i="33" s="1"/>
  <c r="G113" i="33"/>
  <c r="J113" i="33" s="1"/>
  <c r="G112" i="33"/>
  <c r="J112" i="33" s="1"/>
  <c r="G111" i="33"/>
  <c r="J111" i="33" s="1"/>
  <c r="G110" i="33"/>
  <c r="J110" i="33" s="1"/>
  <c r="G109" i="33"/>
  <c r="J109" i="33" s="1"/>
  <c r="G108" i="33"/>
  <c r="J108" i="33" s="1"/>
  <c r="G107" i="33"/>
  <c r="J107" i="33" s="1"/>
  <c r="G106" i="33"/>
  <c r="J106" i="33" s="1"/>
  <c r="G105" i="33"/>
  <c r="J105" i="33" s="1"/>
  <c r="G104" i="33"/>
  <c r="J104" i="33" s="1"/>
  <c r="G103" i="33"/>
  <c r="J103" i="33" s="1"/>
  <c r="G102" i="33"/>
  <c r="J102" i="33" s="1"/>
  <c r="G101" i="33"/>
  <c r="J101" i="33" s="1"/>
  <c r="G100" i="33"/>
  <c r="J100" i="33" s="1"/>
  <c r="G99" i="33"/>
  <c r="J99" i="33" s="1"/>
  <c r="G98" i="33"/>
  <c r="J98" i="33" s="1"/>
  <c r="G97" i="33"/>
  <c r="J97" i="33" s="1"/>
  <c r="G96" i="33"/>
  <c r="J96" i="33" s="1"/>
  <c r="G95" i="33"/>
  <c r="J95" i="33" s="1"/>
  <c r="G94" i="33"/>
  <c r="J94" i="33" s="1"/>
  <c r="G93" i="33"/>
  <c r="J93" i="33" s="1"/>
  <c r="G92" i="33"/>
  <c r="J92" i="33" s="1"/>
  <c r="G91" i="33"/>
  <c r="J91" i="33" s="1"/>
  <c r="G90" i="33"/>
  <c r="J90" i="33" s="1"/>
  <c r="G89" i="33"/>
  <c r="J89" i="33" s="1"/>
  <c r="G88" i="33"/>
  <c r="J88" i="33" s="1"/>
  <c r="G87" i="33"/>
  <c r="J87" i="33" s="1"/>
  <c r="G86" i="33"/>
  <c r="J86" i="33" s="1"/>
  <c r="G85" i="33"/>
  <c r="J85" i="33" s="1"/>
  <c r="G84" i="33"/>
  <c r="J84" i="33" s="1"/>
  <c r="G83" i="33"/>
  <c r="J83" i="33" s="1"/>
  <c r="G82" i="33"/>
  <c r="J82" i="33" s="1"/>
  <c r="G81" i="33"/>
  <c r="J81" i="33" s="1"/>
  <c r="G80" i="33"/>
  <c r="J80" i="33" s="1"/>
  <c r="G79" i="33"/>
  <c r="J79" i="33" s="1"/>
  <c r="G78" i="33"/>
  <c r="J78" i="33" s="1"/>
  <c r="G77" i="33"/>
  <c r="J77" i="33" s="1"/>
  <c r="G76" i="33"/>
  <c r="J76" i="33" s="1"/>
  <c r="G75" i="33"/>
  <c r="J75" i="33" s="1"/>
  <c r="I12" i="34" l="1"/>
  <c r="J12" i="34" s="1"/>
  <c r="I18" i="34"/>
  <c r="J18" i="34" s="1"/>
  <c r="I20" i="34"/>
  <c r="J20" i="34" s="1"/>
  <c r="I22" i="34"/>
  <c r="J22" i="34" s="1"/>
  <c r="I24" i="34"/>
  <c r="J24" i="34" s="1"/>
  <c r="I25" i="34"/>
  <c r="J25" i="34" s="1"/>
  <c r="I27" i="34"/>
  <c r="J27" i="34" s="1"/>
  <c r="I29" i="34"/>
  <c r="J29" i="34" s="1"/>
  <c r="I30" i="34"/>
  <c r="I32" i="34"/>
  <c r="J32" i="34" s="1"/>
  <c r="I36" i="34"/>
  <c r="J36" i="34" s="1"/>
  <c r="I37" i="34"/>
  <c r="J37" i="34" s="1"/>
  <c r="I40" i="34"/>
  <c r="J40" i="34" s="1"/>
  <c r="I42" i="34"/>
  <c r="J42" i="34" s="1"/>
  <c r="I44" i="34"/>
  <c r="J44" i="34" s="1"/>
  <c r="I47" i="34"/>
  <c r="J47" i="34" s="1"/>
  <c r="I48" i="34"/>
  <c r="J48" i="34" s="1"/>
  <c r="I49" i="34"/>
  <c r="J49" i="34" s="1"/>
  <c r="I50" i="34"/>
  <c r="J50" i="34" s="1"/>
  <c r="I54" i="34"/>
  <c r="J54" i="34" s="1"/>
  <c r="I56" i="34"/>
  <c r="J56" i="34" s="1"/>
  <c r="I57" i="34"/>
  <c r="J57" i="34" s="1"/>
  <c r="I59" i="34"/>
  <c r="J59" i="34" s="1"/>
  <c r="H9" i="34"/>
  <c r="I9" i="34" s="1"/>
  <c r="J9" i="34" s="1"/>
  <c r="H11" i="34"/>
  <c r="I11" i="34" s="1"/>
  <c r="J11" i="34" s="1"/>
  <c r="H13" i="34"/>
  <c r="I13" i="34" s="1"/>
  <c r="J13" i="34" s="1"/>
  <c r="H14" i="34"/>
  <c r="I14" i="34" s="1"/>
  <c r="J14" i="34" s="1"/>
  <c r="H15" i="34"/>
  <c r="I15" i="34" s="1"/>
  <c r="J15" i="34" s="1"/>
  <c r="H16" i="34"/>
  <c r="I16" i="34" s="1"/>
  <c r="J16" i="34" s="1"/>
  <c r="H17" i="34"/>
  <c r="I17" i="34" s="1"/>
  <c r="J17" i="34" s="1"/>
  <c r="H19" i="34"/>
  <c r="I19" i="34" s="1"/>
  <c r="J19" i="34" s="1"/>
  <c r="H21" i="34"/>
  <c r="I21" i="34" s="1"/>
  <c r="J21" i="34" s="1"/>
  <c r="H23" i="34"/>
  <c r="I23" i="34" s="1"/>
  <c r="J23" i="34" s="1"/>
  <c r="H26" i="34"/>
  <c r="I26" i="34" s="1"/>
  <c r="J26" i="34" s="1"/>
  <c r="H28" i="34"/>
  <c r="I28" i="34" s="1"/>
  <c r="J28" i="34" s="1"/>
  <c r="H31" i="34"/>
  <c r="I31" i="34" s="1"/>
  <c r="J31" i="34" s="1"/>
  <c r="H35" i="34"/>
  <c r="I35" i="34" s="1"/>
  <c r="J35" i="34" s="1"/>
  <c r="H38" i="34"/>
  <c r="I38" i="34" s="1"/>
  <c r="J38" i="34" s="1"/>
  <c r="H39" i="34"/>
  <c r="I39" i="34" s="1"/>
  <c r="J39" i="34" s="1"/>
  <c r="H41" i="34"/>
  <c r="I41" i="34" s="1"/>
  <c r="J41" i="34" s="1"/>
  <c r="H43" i="34"/>
  <c r="I43" i="34" s="1"/>
  <c r="J43" i="34" s="1"/>
  <c r="H45" i="34"/>
  <c r="I45" i="34" s="1"/>
  <c r="J45" i="34" s="1"/>
  <c r="H46" i="34"/>
  <c r="I46" i="34" s="1"/>
  <c r="J46" i="34" s="1"/>
  <c r="H51" i="34"/>
  <c r="I51" i="34" s="1"/>
  <c r="J51" i="34" s="1"/>
  <c r="H52" i="34"/>
  <c r="I52" i="34" s="1"/>
  <c r="J52" i="34" s="1"/>
  <c r="H53" i="34"/>
  <c r="I53" i="34" s="1"/>
  <c r="J53" i="34" s="1"/>
  <c r="H58" i="34"/>
  <c r="I58" i="34" s="1"/>
  <c r="J58" i="34" s="1"/>
  <c r="H60" i="34"/>
  <c r="I60" i="34" s="1"/>
  <c r="J60" i="34" s="1"/>
  <c r="H29" i="33"/>
  <c r="I29" i="33" s="1"/>
  <c r="J29" i="33" s="1"/>
  <c r="H30" i="33"/>
  <c r="I30" i="33" s="1"/>
  <c r="J30" i="33" s="1"/>
  <c r="H31" i="33"/>
  <c r="I31" i="33" s="1"/>
  <c r="J31" i="33" s="1"/>
  <c r="H32" i="33"/>
  <c r="I32" i="33" s="1"/>
  <c r="J32" i="33" s="1"/>
  <c r="H35" i="33"/>
  <c r="I35" i="33" s="1"/>
  <c r="J35" i="33" s="1"/>
  <c r="H36" i="33"/>
  <c r="I36" i="33" s="1"/>
  <c r="J36" i="33" s="1"/>
  <c r="H37" i="33"/>
  <c r="I37" i="33" s="1"/>
  <c r="J37" i="33" s="1"/>
  <c r="H38" i="33"/>
  <c r="I38" i="33" s="1"/>
  <c r="J38" i="33" s="1"/>
  <c r="H39" i="33"/>
  <c r="I39" i="33" s="1"/>
  <c r="J39" i="33" s="1"/>
  <c r="H40" i="33"/>
  <c r="I40" i="33" s="1"/>
  <c r="J40" i="33" s="1"/>
  <c r="H41" i="33"/>
  <c r="I41" i="33" s="1"/>
  <c r="J41" i="33" s="1"/>
  <c r="H42" i="33"/>
  <c r="I42" i="33" s="1"/>
  <c r="J42" i="33" s="1"/>
  <c r="H43" i="33"/>
  <c r="I43" i="33" s="1"/>
  <c r="J43" i="33" s="1"/>
  <c r="H44" i="33"/>
  <c r="I44" i="33" s="1"/>
  <c r="J44" i="33" s="1"/>
  <c r="H45" i="33"/>
  <c r="I45" i="33" s="1"/>
  <c r="J45" i="33" s="1"/>
  <c r="H46" i="33"/>
  <c r="I46" i="33" s="1"/>
  <c r="J46" i="33" s="1"/>
  <c r="H47" i="33"/>
  <c r="I47" i="33" s="1"/>
  <c r="J47" i="33" s="1"/>
  <c r="H48" i="33"/>
  <c r="I48" i="33" s="1"/>
  <c r="J48" i="33" s="1"/>
  <c r="H49" i="33"/>
  <c r="I49" i="33" s="1"/>
  <c r="J49" i="33" s="1"/>
  <c r="H50" i="33"/>
  <c r="I50" i="33" s="1"/>
  <c r="J50" i="33" s="1"/>
  <c r="H51" i="33"/>
  <c r="I51" i="33" s="1"/>
  <c r="J51" i="33" s="1"/>
  <c r="H52" i="33"/>
  <c r="I52" i="33" s="1"/>
  <c r="J52" i="33" s="1"/>
  <c r="H53" i="33"/>
  <c r="I53" i="33" s="1"/>
  <c r="J53" i="33" s="1"/>
  <c r="H54" i="33"/>
  <c r="I54" i="33" s="1"/>
  <c r="J54" i="33" s="1"/>
  <c r="H55" i="33"/>
  <c r="I55" i="33" s="1"/>
  <c r="J55" i="33" s="1"/>
  <c r="H56" i="33"/>
  <c r="I56" i="33" s="1"/>
  <c r="J56" i="33" s="1"/>
  <c r="H57" i="33"/>
  <c r="I57" i="33" s="1"/>
  <c r="J57" i="33" s="1"/>
  <c r="H58" i="33"/>
  <c r="I58" i="33" s="1"/>
  <c r="J58" i="33" s="1"/>
  <c r="H59" i="33"/>
  <c r="I59" i="33" s="1"/>
  <c r="J59" i="33" s="1"/>
  <c r="H60" i="33"/>
  <c r="I60" i="33" s="1"/>
  <c r="J60" i="33" s="1"/>
  <c r="H61" i="33"/>
  <c r="I61" i="33" s="1"/>
  <c r="J61" i="33" s="1"/>
  <c r="H62" i="33"/>
  <c r="I62" i="33" s="1"/>
  <c r="J62" i="33" s="1"/>
  <c r="H63" i="33"/>
  <c r="I63" i="33" s="1"/>
  <c r="J63" i="33" s="1"/>
  <c r="H64" i="33"/>
  <c r="I64" i="33" s="1"/>
  <c r="J64" i="33" s="1"/>
  <c r="H65" i="33"/>
  <c r="I65" i="33" s="1"/>
  <c r="J65" i="33" s="1"/>
  <c r="H66" i="33"/>
  <c r="I66" i="33" s="1"/>
  <c r="J66" i="33" s="1"/>
  <c r="H67" i="33"/>
  <c r="I67" i="33" s="1"/>
  <c r="J67" i="33" s="1"/>
  <c r="H68" i="33"/>
  <c r="I68" i="33" s="1"/>
  <c r="J68" i="33" s="1"/>
  <c r="I28" i="33"/>
  <c r="J28" i="33" s="1"/>
  <c r="D5" i="25"/>
  <c r="G4" i="25"/>
  <c r="E4" i="25"/>
  <c r="G3" i="25"/>
  <c r="E3" i="25"/>
  <c r="G2" i="25"/>
  <c r="E2" i="25"/>
  <c r="H9" i="20"/>
  <c r="G9" i="20"/>
  <c r="F9" i="20"/>
  <c r="E9" i="20"/>
  <c r="D9" i="20"/>
  <c r="C9" i="20"/>
  <c r="B9" i="20"/>
  <c r="H5" i="20"/>
  <c r="G5" i="20"/>
  <c r="F5" i="20"/>
  <c r="E5" i="20"/>
  <c r="D5" i="20"/>
  <c r="C5" i="20"/>
  <c r="B5" i="20"/>
  <c r="D4" i="25"/>
  <c r="F3" i="25"/>
  <c r="H4" i="25"/>
  <c r="F4" i="25"/>
  <c r="D2" i="25"/>
  <c r="F2" i="25"/>
  <c r="D3" i="25"/>
  <c r="I26" i="19" l="1"/>
  <c r="J26" i="19" s="1"/>
  <c r="I25" i="19"/>
  <c r="J25" i="19" s="1"/>
  <c r="I24" i="19"/>
  <c r="H24" i="19"/>
  <c r="G24" i="19"/>
  <c r="J23" i="19"/>
  <c r="G23" i="19"/>
  <c r="I22" i="19"/>
  <c r="J22" i="19" s="1"/>
  <c r="I21" i="19"/>
  <c r="H21" i="19"/>
  <c r="G21" i="19"/>
  <c r="I20" i="19"/>
  <c r="H20" i="19"/>
  <c r="G20" i="19"/>
  <c r="I19" i="19"/>
  <c r="H19" i="19"/>
  <c r="G19" i="19"/>
  <c r="I18" i="19"/>
  <c r="H18" i="19"/>
  <c r="G18" i="19"/>
  <c r="I17" i="19"/>
  <c r="H17" i="19"/>
  <c r="G17" i="19"/>
  <c r="I16" i="19"/>
  <c r="H16" i="19"/>
  <c r="G16" i="19"/>
  <c r="J17" i="19" l="1"/>
  <c r="J19" i="19"/>
  <c r="J21" i="19"/>
  <c r="J24" i="19"/>
  <c r="J16" i="19"/>
  <c r="J18" i="19"/>
  <c r="J20" i="19"/>
  <c r="I15" i="19"/>
  <c r="H15" i="19"/>
  <c r="G15" i="19"/>
  <c r="I14" i="19"/>
  <c r="H14" i="19"/>
  <c r="G14" i="19"/>
  <c r="I13" i="19"/>
  <c r="H13" i="19"/>
  <c r="G13" i="19"/>
  <c r="J12" i="19"/>
  <c r="G12" i="19"/>
  <c r="I11" i="19"/>
  <c r="J11" i="19" s="1"/>
  <c r="J15" i="19" l="1"/>
  <c r="J14" i="19"/>
  <c r="J13" i="19"/>
  <c r="H10" i="19"/>
  <c r="G9" i="19"/>
  <c r="J9" i="19" s="1"/>
  <c r="I8" i="19"/>
  <c r="J8" i="19" s="1"/>
  <c r="I7" i="19"/>
  <c r="H7" i="19"/>
  <c r="G7" i="19"/>
  <c r="I28" i="19" l="1"/>
  <c r="J28" i="19"/>
  <c r="J7" i="19"/>
  <c r="I6" i="19"/>
  <c r="H6" i="19"/>
  <c r="G6" i="19"/>
  <c r="J6" i="19" l="1"/>
  <c r="I5" i="19"/>
  <c r="H5" i="19"/>
  <c r="G5" i="19"/>
  <c r="I4" i="19"/>
  <c r="H4" i="19"/>
  <c r="G4" i="19"/>
  <c r="J3" i="19"/>
  <c r="G3" i="19"/>
  <c r="G2" i="19"/>
  <c r="L1" i="19" s="1"/>
  <c r="J4" i="19" l="1"/>
  <c r="J5" i="19"/>
  <c r="J2" i="19"/>
  <c r="J10" i="19" l="1"/>
</calcChain>
</file>

<file path=xl/sharedStrings.xml><?xml version="1.0" encoding="utf-8"?>
<sst xmlns="http://schemas.openxmlformats.org/spreadsheetml/2006/main" count="1953" uniqueCount="754">
  <si>
    <t>Category</t>
  </si>
  <si>
    <t>Column Name &amp; Validation</t>
  </si>
  <si>
    <t>Mandatory</t>
  </si>
  <si>
    <t>Y</t>
  </si>
  <si>
    <t>Validation Rule1</t>
  </si>
  <si>
    <t>Error Message</t>
  </si>
  <si>
    <t>N</t>
  </si>
  <si>
    <t>Validation Rule 2</t>
  </si>
  <si>
    <t>Sr. No.</t>
  </si>
  <si>
    <t>Section Name</t>
  </si>
  <si>
    <t>Field</t>
  </si>
  <si>
    <t>Error Decription</t>
  </si>
  <si>
    <t>Row Numbers</t>
  </si>
  <si>
    <t>Sr No</t>
  </si>
  <si>
    <t>Sheet Name</t>
  </si>
  <si>
    <t>Logical Name</t>
  </si>
  <si>
    <t>Is Parent</t>
  </si>
  <si>
    <t>bean field</t>
  </si>
  <si>
    <t>Start Tag</t>
  </si>
  <si>
    <t>Value</t>
  </si>
  <si>
    <t>End Tag</t>
  </si>
  <si>
    <t>Concatenated String</t>
  </si>
  <si>
    <t>NE</t>
  </si>
  <si>
    <t>Basic Details</t>
  </si>
  <si>
    <t>Section</t>
  </si>
  <si>
    <t>Name</t>
  </si>
  <si>
    <t>Validation Rule2</t>
  </si>
  <si>
    <t>Validation Rule3</t>
  </si>
  <si>
    <t>rtnBasicDtlsVOBean</t>
  </si>
  <si>
    <t>version</t>
  </si>
  <si>
    <t>periodFrom</t>
  </si>
  <si>
    <t>periodTo</t>
  </si>
  <si>
    <t>Dealer TIN *</t>
  </si>
  <si>
    <t>Tax Period From *</t>
  </si>
  <si>
    <t>Tax Period To *</t>
  </si>
  <si>
    <t xml:space="preserve"> Tax Period To * '  Date Must be After  ' Tax Period From * '  Date and both should be within the same month.</t>
  </si>
  <si>
    <t>Validation Rule4</t>
  </si>
  <si>
    <t>NP</t>
  </si>
  <si>
    <t>Total Value (Rs.)</t>
  </si>
  <si>
    <t>Rate of Tax (%)</t>
  </si>
  <si>
    <t>b</t>
  </si>
  <si>
    <t>c</t>
  </si>
  <si>
    <t>d</t>
  </si>
  <si>
    <t>e</t>
  </si>
  <si>
    <t>f</t>
  </si>
  <si>
    <t>g</t>
  </si>
  <si>
    <t>i</t>
  </si>
  <si>
    <t>h</t>
  </si>
  <si>
    <t>tin</t>
  </si>
  <si>
    <t>rtnVatFormIBaseStagVOBean</t>
  </si>
  <si>
    <t>commodityCode</t>
  </si>
  <si>
    <t>totalValue</t>
  </si>
  <si>
    <t>rateOfTax</t>
  </si>
  <si>
    <t>Seller Taxpayer Identification Number</t>
  </si>
  <si>
    <t>Name of Seller</t>
  </si>
  <si>
    <t>Invoice No</t>
  </si>
  <si>
    <t>Invoice Date</t>
  </si>
  <si>
    <t>Commodity code</t>
  </si>
  <si>
    <t>Purchase Value (Rs.)</t>
  </si>
  <si>
    <t>Tax Paid (Rs.)</t>
  </si>
  <si>
    <t>Annexure-1</t>
  </si>
  <si>
    <t>1(Hotel)</t>
  </si>
  <si>
    <t>2(Hotel)</t>
  </si>
  <si>
    <t>5(Hotel)</t>
  </si>
  <si>
    <t>14.5(Hotel)</t>
  </si>
  <si>
    <t>1H</t>
  </si>
  <si>
    <t>2H</t>
  </si>
  <si>
    <t>5H</t>
  </si>
  <si>
    <t>145H</t>
  </si>
  <si>
    <t>lstRtnVATAnx1Dtl</t>
  </si>
  <si>
    <t>a</t>
  </si>
  <si>
    <t>Annexure1</t>
  </si>
  <si>
    <t>p1PvLocPurRegDlr</t>
  </si>
  <si>
    <t>p2PvLocPurRegDlr</t>
  </si>
  <si>
    <t>p5PvLocPurRegDlr</t>
  </si>
  <si>
    <t>p145PvLocPurRegDlr</t>
  </si>
  <si>
    <t>p1ItcLocPurRegDlr</t>
  </si>
  <si>
    <t>p2ItcLocPurRegDlr</t>
  </si>
  <si>
    <t>p5ItcLocPurRegDlr</t>
  </si>
  <si>
    <t>p145ItcLocPurRegDlr</t>
  </si>
  <si>
    <t>totItcLocPurRegDlr</t>
  </si>
  <si>
    <t>totPvLocPurRegDlrAn1</t>
  </si>
  <si>
    <t>RtnVATAnx1PurcRegDlrMainVOBean</t>
  </si>
  <si>
    <t>lstRtnVATAnx1Dtls</t>
  </si>
  <si>
    <t>Annexure1Col</t>
  </si>
  <si>
    <t>rtnVATFormIAnxSummaryVOBean</t>
  </si>
  <si>
    <t>Combo Field Mapping</t>
  </si>
  <si>
    <t xml:space="preserve">lstRtnVATAnx1Dtl
</t>
  </si>
  <si>
    <t>sellerTin</t>
  </si>
  <si>
    <t>sellerName</t>
  </si>
  <si>
    <t>invoiceNo</t>
  </si>
  <si>
    <t>invoiceDate</t>
  </si>
  <si>
    <t>purchaseValue</t>
  </si>
  <si>
    <t>taxPaid</t>
  </si>
  <si>
    <t>7#taxRateCode#rateoftax</t>
  </si>
  <si>
    <t>be673faa1b0c91dac6ef8a2b6e98519fdfbdd453aa7b3338d7841a7a861fa737</t>
  </si>
  <si>
    <t>Annexure 1 – List of First Schedule Goods Purchased from Registered Dealer*</t>
  </si>
  <si>
    <t>Please Enter At least one row in Annexure-1</t>
  </si>
  <si>
    <t>2d1692a379a7333860eef2dada73c17bd9f623f2e3937334a74c41a5d25cd5b0</t>
  </si>
  <si>
    <t>RATE</t>
  </si>
  <si>
    <t>TOTAL</t>
  </si>
  <si>
    <t>DATE</t>
  </si>
  <si>
    <t>FILM NAME</t>
  </si>
  <si>
    <t>AMOUNT</t>
  </si>
  <si>
    <t>CGST</t>
  </si>
  <si>
    <t>SGST</t>
  </si>
  <si>
    <t>TOTAL TAX</t>
  </si>
  <si>
    <t>GST NO</t>
  </si>
  <si>
    <t>BILL NO</t>
  </si>
  <si>
    <t>PURCHASE</t>
  </si>
  <si>
    <t>19/09/2017</t>
  </si>
  <si>
    <t>27/09/2017</t>
  </si>
  <si>
    <t>16/09/2017</t>
  </si>
  <si>
    <t>01/09/2017</t>
  </si>
  <si>
    <t>SALES</t>
  </si>
  <si>
    <t>08/09/2017</t>
  </si>
  <si>
    <t>33ABUPL7372D1ZE</t>
  </si>
  <si>
    <t>SHRI VINAYAGA HARDWARES</t>
  </si>
  <si>
    <t>5288</t>
  </si>
  <si>
    <t>28/09/2017</t>
  </si>
  <si>
    <t>33AYEPP9827C1ZD</t>
  </si>
  <si>
    <t>A R TRADERS</t>
  </si>
  <si>
    <t>2825</t>
  </si>
  <si>
    <t>33AAACB1334KIZ4</t>
  </si>
  <si>
    <t>BALIGA LIGHTING EQUIPMENTS (P) LTD</t>
  </si>
  <si>
    <t>962</t>
  </si>
  <si>
    <t>963</t>
  </si>
  <si>
    <t>33AAFFV1458A1ZL</t>
  </si>
  <si>
    <t>VP ENGINEERS</t>
  </si>
  <si>
    <t>964</t>
  </si>
  <si>
    <t>965</t>
  </si>
  <si>
    <t>966</t>
  </si>
  <si>
    <t>04/09/2017</t>
  </si>
  <si>
    <t>967</t>
  </si>
  <si>
    <t>05/09/2017</t>
  </si>
  <si>
    <t>33AAACG1118Q1ZP</t>
  </si>
  <si>
    <t>GUINDY MACHINE TOOLS LTD</t>
  </si>
  <si>
    <t>968</t>
  </si>
  <si>
    <t>06/09/2017</t>
  </si>
  <si>
    <t>969</t>
  </si>
  <si>
    <t>970</t>
  </si>
  <si>
    <t>09/09/2017</t>
  </si>
  <si>
    <t>971</t>
  </si>
  <si>
    <t>11/09/2017</t>
  </si>
  <si>
    <t>972</t>
  </si>
  <si>
    <t>12/09/2017</t>
  </si>
  <si>
    <t>973</t>
  </si>
  <si>
    <t>974</t>
  </si>
  <si>
    <t>975</t>
  </si>
  <si>
    <t>14/09/2017</t>
  </si>
  <si>
    <t>976</t>
  </si>
  <si>
    <t>15/09/2017</t>
  </si>
  <si>
    <t>977</t>
  </si>
  <si>
    <t>978</t>
  </si>
  <si>
    <t>979</t>
  </si>
  <si>
    <t>18/09/2017</t>
  </si>
  <si>
    <t>980</t>
  </si>
  <si>
    <t>981</t>
  </si>
  <si>
    <t>982</t>
  </si>
  <si>
    <t>983</t>
  </si>
  <si>
    <t>20/09/2017</t>
  </si>
  <si>
    <t>984</t>
  </si>
  <si>
    <t>21/09/2017</t>
  </si>
  <si>
    <t>985</t>
  </si>
  <si>
    <t>986</t>
  </si>
  <si>
    <t>987</t>
  </si>
  <si>
    <t>23/09/2017</t>
  </si>
  <si>
    <t>988</t>
  </si>
  <si>
    <t>989</t>
  </si>
  <si>
    <t>990</t>
  </si>
  <si>
    <t>25/09/2017</t>
  </si>
  <si>
    <t>992</t>
  </si>
  <si>
    <t>993</t>
  </si>
  <si>
    <t>994</t>
  </si>
  <si>
    <t>26/09/2017</t>
  </si>
  <si>
    <t>995</t>
  </si>
  <si>
    <t>33AATFS0057J1ZY</t>
  </si>
  <si>
    <t>SRINIVASAKA ENTERPRISES</t>
  </si>
  <si>
    <t>5577</t>
  </si>
  <si>
    <t>07/10/2017</t>
  </si>
  <si>
    <t>5669</t>
  </si>
  <si>
    <t>08/10/2017</t>
  </si>
  <si>
    <t>33AADFH4085R1ZX</t>
  </si>
  <si>
    <t>HINDUSTAN HARDWARE</t>
  </si>
  <si>
    <t>3005</t>
  </si>
  <si>
    <t>27/10/2017</t>
  </si>
  <si>
    <t>1001</t>
  </si>
  <si>
    <t>1002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</si>
  <si>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</si>
  <si>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</si>
  <si>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</si>
  <si>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</si>
  <si>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</si>
  <si>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</si>
  <si>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</si>
  <si>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</si>
  <si>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</si>
  <si>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</si>
  <si>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</si>
  <si>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</si>
  <si>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</si>
  <si>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</si>
  <si>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</si>
  <si>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</si>
  <si>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</si>
  <si>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</si>
  <si>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</si>
  <si>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</si>
  <si>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</si>
  <si>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</si>
  <si>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</si>
  <si>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</si>
  <si>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</si>
  <si>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</si>
  <si>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04/10/2017</t>
  </si>
  <si>
    <t>05/10/2017</t>
  </si>
  <si>
    <t>06/10/2017</t>
  </si>
  <si>
    <t>09/10/2017</t>
  </si>
  <si>
    <t>10/10/2017</t>
  </si>
  <si>
    <t>11/10/2017</t>
  </si>
  <si>
    <t>12/10/2017</t>
  </si>
  <si>
    <t>14/10/2017</t>
  </si>
  <si>
    <t>16/10/2017</t>
  </si>
  <si>
    <t>20/10/2017</t>
  </si>
  <si>
    <t>21/10/2017</t>
  </si>
  <si>
    <t>23/10/2017</t>
  </si>
  <si>
    <t>24/10/2017</t>
  </si>
  <si>
    <t>25/10/2017</t>
  </si>
  <si>
    <t>33AACCO1170B1Z0</t>
  </si>
  <si>
    <t>OCEAN LIFE SPACES PVT LTD</t>
  </si>
  <si>
    <t>28/10/2017</t>
  </si>
  <si>
    <t>COMPANY NAME</t>
  </si>
  <si>
    <t>1030</t>
  </si>
  <si>
    <t>01/11/2017</t>
  </si>
  <si>
    <t>1031</t>
  </si>
  <si>
    <t>1032</t>
  </si>
  <si>
    <t>02/11/2017</t>
  </si>
  <si>
    <t>1033</t>
  </si>
  <si>
    <t>04/11/2017</t>
  </si>
  <si>
    <t>1034</t>
  </si>
  <si>
    <t>06/11/2017</t>
  </si>
  <si>
    <t>1035</t>
  </si>
  <si>
    <t>1036</t>
  </si>
  <si>
    <t>07/11/2017</t>
  </si>
  <si>
    <t>1037</t>
  </si>
  <si>
    <t>1038</t>
  </si>
  <si>
    <t>1039</t>
  </si>
  <si>
    <t>08/11/2017</t>
  </si>
  <si>
    <t>1040</t>
  </si>
  <si>
    <t>09/11/2017</t>
  </si>
  <si>
    <t>1041</t>
  </si>
  <si>
    <t>1042</t>
  </si>
  <si>
    <t>10/11/2017</t>
  </si>
  <si>
    <t>1043</t>
  </si>
  <si>
    <t>11/11/2017</t>
  </si>
  <si>
    <t>33AABCT9790N1ZN</t>
  </si>
  <si>
    <t>Ti ANODE FABRICATORS (P) LTD</t>
  </si>
  <si>
    <t>1044</t>
  </si>
  <si>
    <t>1045</t>
  </si>
  <si>
    <t>13/11/2017</t>
  </si>
  <si>
    <t>1046</t>
  </si>
  <si>
    <t>14/11/2017</t>
  </si>
  <si>
    <t>1048</t>
  </si>
  <si>
    <t>17/11/2017</t>
  </si>
  <si>
    <t>1049</t>
  </si>
  <si>
    <t>1050</t>
  </si>
  <si>
    <t>20/11/2017</t>
  </si>
  <si>
    <t>1051</t>
  </si>
  <si>
    <t>21/11/2017</t>
  </si>
  <si>
    <t>1053</t>
  </si>
  <si>
    <t>22/11/2017</t>
  </si>
  <si>
    <t>1054</t>
  </si>
  <si>
    <t>23/11/2017</t>
  </si>
  <si>
    <t>1055</t>
  </si>
  <si>
    <t>1056</t>
  </si>
  <si>
    <t>24/11/2017</t>
  </si>
  <si>
    <t>1057</t>
  </si>
  <si>
    <t>25/11/2017</t>
  </si>
  <si>
    <t>1058</t>
  </si>
  <si>
    <t>1059</t>
  </si>
  <si>
    <t>27/11/2017</t>
  </si>
  <si>
    <t>1060</t>
  </si>
  <si>
    <t>1061</t>
  </si>
  <si>
    <t>28/11/2017</t>
  </si>
  <si>
    <t>1062</t>
  </si>
  <si>
    <t>29/11/2017</t>
  </si>
  <si>
    <t>1063</t>
  </si>
  <si>
    <t>1064</t>
  </si>
  <si>
    <t>1092</t>
  </si>
  <si>
    <t>02/01/2018</t>
  </si>
  <si>
    <t>1093</t>
  </si>
  <si>
    <t>1094</t>
  </si>
  <si>
    <t>05/01/2018</t>
  </si>
  <si>
    <t>1095</t>
  </si>
  <si>
    <t>1096</t>
  </si>
  <si>
    <t>1097</t>
  </si>
  <si>
    <t>06/01/2018</t>
  </si>
  <si>
    <t>1100</t>
  </si>
  <si>
    <t>08/01/2018</t>
  </si>
  <si>
    <t>1101</t>
  </si>
  <si>
    <t>1102</t>
  </si>
  <si>
    <t>1103</t>
  </si>
  <si>
    <t>1104</t>
  </si>
  <si>
    <t>09/01/2018</t>
  </si>
  <si>
    <t>1105</t>
  </si>
  <si>
    <t>10/01/2018</t>
  </si>
  <si>
    <t>33AAACB1334K1Z4</t>
  </si>
  <si>
    <t>1106</t>
  </si>
  <si>
    <t>1107</t>
  </si>
  <si>
    <t>11/01/2018</t>
  </si>
  <si>
    <t>1108</t>
  </si>
  <si>
    <t>12/01/2018</t>
  </si>
  <si>
    <t>1109</t>
  </si>
  <si>
    <t>1110</t>
  </si>
  <si>
    <t>13/01/2018</t>
  </si>
  <si>
    <t>1111</t>
  </si>
  <si>
    <t>17/01/2018</t>
  </si>
  <si>
    <t>1112</t>
  </si>
  <si>
    <t>1113</t>
  </si>
  <si>
    <t>18/01/2018</t>
  </si>
  <si>
    <t>1115</t>
  </si>
  <si>
    <t>23/01/2018</t>
  </si>
  <si>
    <t>1116</t>
  </si>
  <si>
    <t>1117</t>
  </si>
  <si>
    <t>1118</t>
  </si>
  <si>
    <t>1120</t>
  </si>
  <si>
    <t>25/01/2018</t>
  </si>
  <si>
    <t>1121</t>
  </si>
  <si>
    <t>1122</t>
  </si>
  <si>
    <t>1124</t>
  </si>
  <si>
    <t>1125</t>
  </si>
  <si>
    <t>27/01/2018</t>
  </si>
  <si>
    <t>1126</t>
  </si>
  <si>
    <t>1127</t>
  </si>
  <si>
    <t>02/02/2017</t>
  </si>
  <si>
    <t>1128</t>
  </si>
  <si>
    <t>01/02/2018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</si>
  <si>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</si>
  <si>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</si>
  <si>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</si>
  <si>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</si>
  <si>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</si>
  <si>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</si>
  <si>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</si>
  <si>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</si>
  <si>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</si>
  <si>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</si>
  <si>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</si>
  <si>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</si>
  <si>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</si>
  <si>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</si>
  <si>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</si>
  <si>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</si>
  <si>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</si>
  <si>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</si>
  <si>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</si>
  <si>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</si>
  <si>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</si>
  <si>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</si>
  <si>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</si>
  <si>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</si>
  <si>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</si>
  <si>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</si>
  <si>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</si>
  <si>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</si>
  <si>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</si>
  <si>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</si>
  <si>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</si>
  <si>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</si>
  <si>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1162</t>
  </si>
  <si>
    <t>02/02/2018</t>
  </si>
  <si>
    <t>03/02/2018</t>
  </si>
  <si>
    <t>05/02/2018</t>
  </si>
  <si>
    <t>07/02/2018</t>
  </si>
  <si>
    <t>08/02/2018</t>
  </si>
  <si>
    <t>09/02/2018</t>
  </si>
  <si>
    <t>10/02/2018</t>
  </si>
  <si>
    <t>12/02/2018</t>
  </si>
  <si>
    <t>13/02/2018</t>
  </si>
  <si>
    <t>15/02/2018</t>
  </si>
  <si>
    <t>16/02/2018</t>
  </si>
  <si>
    <t>17/02/2018</t>
  </si>
  <si>
    <t>19/02/2018</t>
  </si>
  <si>
    <t>23/02/2018</t>
  </si>
  <si>
    <t>26/02/2018</t>
  </si>
  <si>
    <t>27/02/2018</t>
  </si>
  <si>
    <t>28/02/2018</t>
  </si>
  <si>
    <t>7051</t>
  </si>
  <si>
    <t>23/03/2018</t>
  </si>
  <si>
    <t>1161</t>
  </si>
  <si>
    <t>1163</t>
  </si>
  <si>
    <t>1164</t>
  </si>
  <si>
    <t>1165</t>
  </si>
  <si>
    <t>1166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</si>
  <si>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</si>
  <si>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</si>
  <si>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</si>
  <si>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</si>
  <si>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</si>
  <si>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</si>
  <si>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</si>
  <si>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</si>
  <si>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</si>
  <si>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</si>
  <si>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</si>
  <si>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</si>
  <si>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</si>
  <si>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</si>
  <si>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</si>
  <si>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</si>
  <si>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</si>
  <si>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</si>
  <si>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</si>
  <si>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</si>
  <si>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</si>
  <si>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</si>
  <si>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</si>
  <si>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</si>
  <si>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</si>
  <si>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</si>
  <si>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</si>
  <si>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</si>
  <si>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</si>
  <si>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</si>
  <si>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</si>
  <si>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</si>
  <si>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</si>
  <si>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</si>
  <si>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</si>
  <si>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</si>
  <si>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</si>
  <si>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</si>
  <si>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</si>
  <si>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</si>
  <si>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</si>
  <si>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01/03/2018</t>
  </si>
  <si>
    <t>03/03/2018</t>
  </si>
  <si>
    <t>05/03/2018</t>
  </si>
  <si>
    <t>06/03/2018</t>
  </si>
  <si>
    <t>08/03/2018</t>
  </si>
  <si>
    <t>09/03/2018</t>
  </si>
  <si>
    <t>10/03/2018</t>
  </si>
  <si>
    <t>12/03/2018</t>
  </si>
  <si>
    <t>13/03/2018</t>
  </si>
  <si>
    <t>14/03/2018</t>
  </si>
  <si>
    <t>15/03/2018</t>
  </si>
  <si>
    <t>16/03/2018</t>
  </si>
  <si>
    <t>17/03/2018</t>
  </si>
  <si>
    <t>19/03/2018</t>
  </si>
  <si>
    <t>20/03/2018</t>
  </si>
  <si>
    <t>28/03/2018</t>
  </si>
  <si>
    <t>22/03/2018</t>
  </si>
  <si>
    <t>21/03/2018</t>
  </si>
  <si>
    <t>24/03/2018</t>
  </si>
  <si>
    <t>29/03/2018</t>
  </si>
  <si>
    <t>30/03/2018</t>
  </si>
  <si>
    <t>31/03/2018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</si>
  <si>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</si>
  <si>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</si>
  <si>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</si>
  <si>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</si>
  <si>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</si>
  <si>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</si>
  <si>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</si>
  <si>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</si>
  <si>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</si>
  <si>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</si>
  <si>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</si>
  <si>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</si>
  <si>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</si>
  <si>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</si>
  <si>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</si>
  <si>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</si>
  <si>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</si>
  <si>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</si>
  <si>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</si>
  <si>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</si>
  <si>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</si>
  <si>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</si>
  <si>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</si>
  <si>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</si>
  <si>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</si>
  <si>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</si>
  <si>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</si>
  <si>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</si>
  <si>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</si>
  <si>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</si>
  <si>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</si>
  <si>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</si>
  <si>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</si>
  <si>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</si>
  <si>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</si>
  <si>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</si>
  <si>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03/04/2018</t>
  </si>
  <si>
    <t>06/04/2018</t>
  </si>
  <si>
    <t>09/04/2018</t>
  </si>
  <si>
    <t>04/04/2018</t>
  </si>
  <si>
    <t>07/04/2018</t>
  </si>
  <si>
    <t>11/04/2018</t>
  </si>
  <si>
    <t>TINI INDUSTRIES</t>
  </si>
  <si>
    <t>12/04/2018</t>
  </si>
  <si>
    <t>13/04/2018</t>
  </si>
  <si>
    <t>14/04/2018</t>
  </si>
  <si>
    <t>17/04/2018</t>
  </si>
  <si>
    <t>18/04/2018</t>
  </si>
  <si>
    <t>19/04/2018</t>
  </si>
  <si>
    <t>20/04/2018</t>
  </si>
  <si>
    <t>21/04/2018</t>
  </si>
  <si>
    <t>23/04/2018</t>
  </si>
  <si>
    <t>25/04/2018</t>
  </si>
  <si>
    <t>26/04/2018</t>
  </si>
  <si>
    <t>27/04/2018</t>
  </si>
  <si>
    <t>28/04/2018</t>
  </si>
  <si>
    <t>30/04/2018</t>
  </si>
  <si>
    <t>33AAIFT7043G1Z7</t>
  </si>
  <si>
    <t>33AMEPR0233L1Z6</t>
  </si>
  <si>
    <t>G R METAL CORPORATION</t>
  </si>
  <si>
    <t>OCEAN LIFESPACES INDIA (P) LTD</t>
  </si>
  <si>
    <t>33AAACO6540J1ZJ</t>
  </si>
  <si>
    <t>33AABCU8641B2ZM</t>
  </si>
  <si>
    <t>UNICORE CONSTRUCTIONS INDIA (P) LTD</t>
  </si>
  <si>
    <t>33ACSPH8484P1ZM</t>
  </si>
  <si>
    <t>POPULAR TOOLS AND METALS</t>
  </si>
  <si>
    <t>440</t>
  </si>
  <si>
    <t>25/07/2018</t>
  </si>
  <si>
    <t>1582</t>
  </si>
  <si>
    <t>26/07/2018</t>
  </si>
  <si>
    <t>2119</t>
  </si>
  <si>
    <t>13/07/2018</t>
  </si>
  <si>
    <t>33AAJCS5395J1ZV</t>
  </si>
  <si>
    <t>SOWCAR ELECTRICALS (P) LTD</t>
  </si>
  <si>
    <t>3954</t>
  </si>
  <si>
    <t>15/07/2018</t>
  </si>
  <si>
    <t>31/07/2018</t>
  </si>
  <si>
    <t>023</t>
  </si>
  <si>
    <t>022</t>
  </si>
  <si>
    <t>10/07/2018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</si>
  <si>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</si>
  <si>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</si>
  <si>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</si>
  <si>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</si>
  <si>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</si>
  <si>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</si>
  <si>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</si>
  <si>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</si>
  <si>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</si>
  <si>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</si>
  <si>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</si>
  <si>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</si>
  <si>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</si>
  <si>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</si>
  <si>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</si>
  <si>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</si>
  <si>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</si>
  <si>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</si>
  <si>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</si>
  <si>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1343</t>
  </si>
  <si>
    <t>1344</t>
  </si>
  <si>
    <t>1345</t>
  </si>
  <si>
    <t>1346</t>
  </si>
  <si>
    <t>1347</t>
  </si>
  <si>
    <t>1348</t>
  </si>
  <si>
    <t>1349</t>
  </si>
  <si>
    <t>1351</t>
  </si>
  <si>
    <t>1352</t>
  </si>
  <si>
    <t>1353</t>
  </si>
  <si>
    <t>1354</t>
  </si>
  <si>
    <t>1355</t>
  </si>
  <si>
    <t>03/07/2018</t>
  </si>
  <si>
    <t>04/07/2018</t>
  </si>
  <si>
    <t>06/07/2018</t>
  </si>
  <si>
    <t>07/07/2018</t>
  </si>
  <si>
    <t>12/07/2018</t>
  </si>
  <si>
    <t>14/07/2018</t>
  </si>
  <si>
    <t>21/07/2018</t>
  </si>
  <si>
    <t>33AAECR4967N1ZT</t>
  </si>
  <si>
    <t>RT SAFE BALLAST (P) LTD</t>
  </si>
  <si>
    <t>27/07/2018</t>
  </si>
  <si>
    <t>30/07/2018</t>
  </si>
  <si>
    <t>3661</t>
  </si>
  <si>
    <t>19/09/2018</t>
  </si>
  <si>
    <t>33AAKPM0964F1ZT</t>
  </si>
  <si>
    <t>GUINDY METAL TRADERS</t>
  </si>
  <si>
    <t>21/09/2018</t>
  </si>
  <si>
    <t>669</t>
  </si>
  <si>
    <t>5422</t>
  </si>
  <si>
    <t>04/09/2018</t>
  </si>
  <si>
    <t>026</t>
  </si>
  <si>
    <t>22/09/2018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</si>
  <si>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</si>
  <si>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</si>
  <si>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</si>
  <si>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</si>
  <si>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</si>
  <si>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</si>
  <si>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</si>
  <si>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</si>
  <si>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</si>
  <si>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</si>
  <si>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</si>
  <si>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</si>
  <si>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</si>
  <si>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</si>
  <si>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</si>
  <si>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</si>
  <si>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</si>
  <si>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</si>
  <si>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</si>
  <si>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</si>
  <si>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</si>
  <si>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</si>
  <si>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</si>
  <si>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</si>
  <si>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</si>
  <si>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</si>
  <si>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</si>
  <si>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</si>
  <si>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</si>
  <si>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</si>
  <si>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</si>
  <si>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</si>
  <si>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</si>
  <si>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</si>
  <si>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1432</t>
  </si>
  <si>
    <t>1433</t>
  </si>
  <si>
    <t>1434</t>
  </si>
  <si>
    <t>1435</t>
  </si>
  <si>
    <t>1436</t>
  </si>
  <si>
    <t>1437</t>
  </si>
  <si>
    <t>1438</t>
  </si>
  <si>
    <t>1439</t>
  </si>
  <si>
    <t>33AABCN9122E2ZT</t>
  </si>
  <si>
    <t>NOBLE ECO SYSTEM (P) LTD</t>
  </si>
  <si>
    <t>01/09/2018</t>
  </si>
  <si>
    <t>03/09/2018</t>
  </si>
  <si>
    <t>06/09/2018</t>
  </si>
  <si>
    <t>07/09/2018</t>
  </si>
  <si>
    <t>08/09/2018</t>
  </si>
  <si>
    <t>11/09/2018</t>
  </si>
  <si>
    <t>14/09/2018</t>
  </si>
  <si>
    <t>15/09/2018</t>
  </si>
  <si>
    <t>17/09/2018</t>
  </si>
  <si>
    <t>24/09/2018</t>
  </si>
  <si>
    <t>25/09/2018</t>
  </si>
  <si>
    <t>27/09/2018</t>
  </si>
  <si>
    <t>29/09/2018</t>
  </si>
  <si>
    <t>33AAFCP0440D1Z3</t>
  </si>
  <si>
    <t>PURPLE OPTICS PVT. LTD</t>
  </si>
  <si>
    <t>8947</t>
  </si>
  <si>
    <t>31/10/2018</t>
  </si>
  <si>
    <t>AR TRADERS</t>
  </si>
  <si>
    <t>4995</t>
  </si>
  <si>
    <t>23/10/2018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</si>
  <si>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</si>
  <si>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</si>
  <si>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</si>
  <si>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</si>
  <si>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</si>
  <si>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</si>
  <si>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</si>
  <si>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</si>
  <si>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</si>
  <si>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</si>
  <si>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</si>
  <si>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</si>
  <si>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</si>
  <si>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</si>
  <si>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</si>
  <si>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</si>
  <si>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</si>
  <si>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</si>
  <si>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</si>
  <si>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</si>
  <si>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</si>
  <si>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</si>
  <si>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</si>
  <si>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</si>
  <si>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</si>
  <si>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</si>
  <si>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</si>
  <si>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</si>
  <si>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</si>
  <si>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</si>
  <si>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</si>
  <si>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</si>
  <si>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</si>
  <si>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</si>
  <si>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</si>
  <si>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04/10/2018</t>
  </si>
  <si>
    <t>06/10/2018</t>
  </si>
  <si>
    <t>10/10/2018</t>
  </si>
  <si>
    <t>11/10/2018</t>
  </si>
  <si>
    <t>3/10/2018</t>
  </si>
  <si>
    <t>15/10/2018</t>
  </si>
  <si>
    <t>16/10/2018</t>
  </si>
  <si>
    <t>17/10/2018</t>
  </si>
  <si>
    <t>19/10/2018</t>
  </si>
  <si>
    <t>24/10/2018</t>
  </si>
  <si>
    <t>25/10/2018</t>
  </si>
  <si>
    <t>29/10/2018</t>
  </si>
  <si>
    <t>22/10/2018</t>
  </si>
  <si>
    <t>26/10/2018</t>
  </si>
  <si>
    <t>27/10/2018</t>
  </si>
  <si>
    <t>30/10/2018</t>
  </si>
  <si>
    <t>1509</t>
  </si>
  <si>
    <t>01/12/2018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</si>
  <si>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</si>
  <si>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</si>
  <si>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</si>
  <si>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</si>
  <si>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</si>
  <si>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</si>
  <si>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</si>
  <si>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</si>
  <si>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</si>
  <si>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</si>
  <si>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</si>
  <si>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</si>
  <si>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</si>
  <si>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</si>
  <si>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</si>
  <si>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</si>
  <si>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</si>
  <si>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</si>
  <si>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</si>
  <si>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</si>
  <si>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</si>
  <si>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</si>
  <si>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</si>
  <si>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</si>
  <si>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</si>
  <si>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</si>
  <si>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</si>
  <si>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03/12/2018</t>
  </si>
  <si>
    <t>04/12/2018</t>
  </si>
  <si>
    <t>06/12/2018</t>
  </si>
  <si>
    <t>07/12/2018</t>
  </si>
  <si>
    <t>08/12/2018</t>
  </si>
  <si>
    <t>10/12/2018</t>
  </si>
  <si>
    <t>12/12/2018</t>
  </si>
  <si>
    <t>13/12/2018</t>
  </si>
  <si>
    <t>15/12/2018</t>
  </si>
  <si>
    <t>1526</t>
  </si>
  <si>
    <t>20/12/2018</t>
  </si>
  <si>
    <t>18/12/2018</t>
  </si>
  <si>
    <t>21/12/2018</t>
  </si>
  <si>
    <t>19/12/2018</t>
  </si>
  <si>
    <t>27/12/2018</t>
  </si>
  <si>
    <t>24/12/2018</t>
  </si>
  <si>
    <t>28/12/2018</t>
  </si>
  <si>
    <t>29/12/2018</t>
  </si>
  <si>
    <t>G.R. ENGINEERING  PERUMBAKKAM, CHENNAI - 600 100.</t>
  </si>
  <si>
    <t>TOTAL SALES</t>
  </si>
  <si>
    <t>SALES DETAILS FOR THE MONTH OF APRIL,2026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</si>
</sst>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9"/>
      <name val="Verdana"/>
      <family val="2"/>
    </font>
    <font>
      <sz val="11"/>
      <color indexed="8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indexed="8"/>
      <name val="Verdana"/>
      <family val="2"/>
    </font>
    <font>
      <b/>
      <sz val="8"/>
      <color indexed="8"/>
      <name val="Verdana"/>
      <family val="2"/>
    </font>
    <font>
      <sz val="11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46">
    <xf numFmtId="0" fontId="0" fillId="0" borderId="0"/>
    <xf numFmtId="0" fontId="3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5" fillId="0" borderId="0"/>
    <xf numFmtId="164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6" applyNumberFormat="0" applyAlignment="0" applyProtection="0"/>
    <xf numFmtId="0" fontId="18" fillId="10" borderId="7" applyNumberFormat="0" applyAlignment="0" applyProtection="0"/>
    <xf numFmtId="0" fontId="19" fillId="10" borderId="6" applyNumberFormat="0" applyAlignment="0" applyProtection="0"/>
    <xf numFmtId="0" fontId="20" fillId="0" borderId="8" applyNumberFormat="0" applyFill="0" applyAlignment="0" applyProtection="0"/>
    <xf numFmtId="0" fontId="7" fillId="11" borderId="9" applyNumberFormat="0" applyAlignment="0" applyProtection="0"/>
    <xf numFmtId="0" fontId="21" fillId="0" borderId="0" applyNumberFormat="0" applyFill="0" applyBorder="0" applyAlignment="0" applyProtection="0"/>
    <xf numFmtId="0" fontId="5" fillId="12" borderId="10" applyNumberFormat="0" applyFont="0" applyAlignment="0" applyProtection="0"/>
    <xf numFmtId="0" fontId="22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6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6" fillId="36" borderId="0" applyNumberFormat="0" applyBorder="0" applyAlignment="0" applyProtection="0"/>
  </cellStyleXfs>
  <cellXfs count="77">
    <xf numFmtId="0" fontId="0" fillId="0" borderId="0" xfId="0"/>
    <xf numFmtId="0" fontId="0" fillId="4" borderId="0" xfId="0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1" fillId="0" borderId="1" xfId="2" applyBorder="1" applyAlignment="1" applyProtection="1">
      <alignment horizontal="left" vertical="center" wrapText="1"/>
    </xf>
    <xf numFmtId="0" fontId="0" fillId="0" borderId="0" xfId="0" applyFill="1" applyBorder="1" applyAlignment="1">
      <alignment horizontal="center" vertical="center" shrinkToFi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0" xfId="3" applyFont="1" applyFill="1" applyBorder="1" applyAlignment="1">
      <alignment horizontal="center" vertical="center" wrapText="1"/>
    </xf>
    <xf numFmtId="0" fontId="2" fillId="0" borderId="0" xfId="3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3" applyFont="1" applyFill="1" applyBorder="1" applyAlignment="1">
      <alignment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wrapText="1" shrinkToFit="1"/>
    </xf>
    <xf numFmtId="0" fontId="8" fillId="0" borderId="0" xfId="0" applyFont="1" applyFill="1" applyBorder="1"/>
    <xf numFmtId="0" fontId="8" fillId="0" borderId="1" xfId="0" applyFont="1" applyFill="1" applyBorder="1" applyAlignment="1">
      <alignment horizontal="center" vertical="center" shrinkToFit="1"/>
    </xf>
    <xf numFmtId="0" fontId="8" fillId="0" borderId="1" xfId="0" applyFont="1" applyFill="1" applyBorder="1" applyAlignment="1">
      <alignment shrinkToFit="1"/>
    </xf>
    <xf numFmtId="0" fontId="8" fillId="0" borderId="0" xfId="0" applyFont="1" applyFill="1" applyAlignment="1">
      <alignment horizontal="center" vertical="center" shrinkToFit="1"/>
    </xf>
    <xf numFmtId="0" fontId="4" fillId="0" borderId="0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 wrapText="1"/>
    </xf>
    <xf numFmtId="10" fontId="2" fillId="0" borderId="0" xfId="0" applyNumberFormat="1" applyFont="1" applyFill="1" applyBorder="1" applyAlignment="1">
      <alignment horizontal="left" vertical="center" wrapText="1"/>
    </xf>
    <xf numFmtId="0" fontId="2" fillId="0" borderId="0" xfId="0" quotePrefix="1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/>
    <xf numFmtId="0" fontId="8" fillId="0" borderId="0" xfId="0" applyFont="1" applyFill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Fill="1" applyBorder="1"/>
    <xf numFmtId="164" fontId="0" fillId="0" borderId="0" xfId="0" applyNumberFormat="1"/>
    <xf numFmtId="164" fontId="0" fillId="0" borderId="0" xfId="4" applyFont="1"/>
    <xf numFmtId="0" fontId="0" fillId="0" borderId="0" xfId="0" applyAlignment="1">
      <alignment horizontal="left"/>
    </xf>
    <xf numFmtId="49" fontId="23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3" fillId="3" borderId="1" xfId="4" applyFont="1" applyFill="1" applyBorder="1" applyAlignment="1" applyProtection="1">
      <alignment horizontal="right" vertical="center" wrapText="1"/>
      <protection locked="0"/>
    </xf>
    <xf numFmtId="2" fontId="23" fillId="37" borderId="12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49" fontId="23" fillId="2" borderId="12" xfId="0" applyNumberFormat="1" applyFont="1" applyFill="1" applyBorder="1" applyAlignment="1" applyProtection="1">
      <alignment horizontal="left" vertical="center" wrapText="1"/>
      <protection locked="0"/>
    </xf>
    <xf numFmtId="164" fontId="23" fillId="3" borderId="12" xfId="4" applyFont="1" applyFill="1" applyBorder="1" applyAlignment="1" applyProtection="1">
      <alignment horizontal="right" vertical="center" wrapText="1"/>
      <protection locked="0"/>
    </xf>
    <xf numFmtId="49" fontId="23" fillId="2" borderId="13" xfId="0" applyNumberFormat="1" applyFont="1" applyFill="1" applyBorder="1" applyAlignment="1" applyProtection="1">
      <alignment horizontal="left" vertical="center" wrapText="1"/>
      <protection locked="0"/>
    </xf>
    <xf numFmtId="0" fontId="9" fillId="38" borderId="12" xfId="0" applyFont="1" applyFill="1" applyBorder="1" applyAlignment="1">
      <alignment horizontal="left"/>
    </xf>
    <xf numFmtId="14" fontId="0" fillId="38" borderId="12" xfId="0" applyNumberFormat="1" applyFill="1" applyBorder="1" applyAlignment="1">
      <alignment horizontal="left"/>
    </xf>
    <xf numFmtId="0" fontId="0" fillId="38" borderId="12" xfId="0" applyFill="1" applyBorder="1" applyAlignment="1">
      <alignment horizontal="left"/>
    </xf>
    <xf numFmtId="0" fontId="0" fillId="0" borderId="12" xfId="0" applyBorder="1" applyAlignment="1">
      <alignment horizontal="left"/>
    </xf>
    <xf numFmtId="49" fontId="23" fillId="2" borderId="14" xfId="0" applyNumberFormat="1" applyFont="1" applyFill="1" applyBorder="1" applyAlignment="1" applyProtection="1">
      <alignment horizontal="left" vertical="center" wrapText="1"/>
      <protection locked="0"/>
    </xf>
    <xf numFmtId="49" fontId="23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23" fillId="3" borderId="2" xfId="4" applyFont="1" applyFill="1" applyBorder="1" applyAlignment="1" applyProtection="1">
      <alignment horizontal="right" vertical="center" wrapText="1"/>
      <protection locked="0"/>
    </xf>
    <xf numFmtId="0" fontId="9" fillId="0" borderId="12" xfId="0" applyFont="1" applyBorder="1" applyAlignment="1">
      <alignment horizontal="center"/>
    </xf>
    <xf numFmtId="164" fontId="9" fillId="0" borderId="12" xfId="4" applyFont="1" applyBorder="1" applyAlignment="1">
      <alignment horizontal="center"/>
    </xf>
    <xf numFmtId="2" fontId="0" fillId="0" borderId="12" xfId="0" applyNumberFormat="1" applyFill="1" applyBorder="1"/>
    <xf numFmtId="164" fontId="0" fillId="0" borderId="12" xfId="0" applyNumberFormat="1" applyBorder="1"/>
    <xf numFmtId="49" fontId="24" fillId="2" borderId="12" xfId="0" applyNumberFormat="1" applyFont="1" applyFill="1" applyBorder="1" applyAlignment="1" applyProtection="1">
      <alignment horizontal="left" vertical="center" wrapText="1"/>
      <protection locked="0"/>
    </xf>
    <xf numFmtId="0" fontId="0" fillId="38" borderId="12" xfId="0" applyFill="1" applyBorder="1"/>
    <xf numFmtId="49" fontId="24" fillId="2" borderId="13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Fill="1"/>
    <xf numFmtId="0" fontId="9" fillId="0" borderId="12" xfId="0" applyFont="1" applyFill="1" applyBorder="1" applyAlignment="1">
      <alignment horizontal="left"/>
    </xf>
    <xf numFmtId="164" fontId="9" fillId="0" borderId="12" xfId="4" applyFont="1" applyFill="1" applyBorder="1" applyAlignment="1">
      <alignment horizontal="center"/>
    </xf>
    <xf numFmtId="0" fontId="0" fillId="0" borderId="12" xfId="0" applyFill="1" applyBorder="1"/>
    <xf numFmtId="49" fontId="23" fillId="0" borderId="12" xfId="0" applyNumberFormat="1" applyFont="1" applyFill="1" applyBorder="1" applyAlignment="1" applyProtection="1">
      <alignment horizontal="left" vertical="center" wrapText="1"/>
      <protection locked="0"/>
    </xf>
    <xf numFmtId="164" fontId="23" fillId="0" borderId="12" xfId="4" applyFont="1" applyFill="1" applyBorder="1" applyAlignment="1" applyProtection="1">
      <alignment horizontal="right" vertical="center" wrapText="1"/>
      <protection locked="0"/>
    </xf>
    <xf numFmtId="2" fontId="23" fillId="0" borderId="12" xfId="0" applyNumberFormat="1" applyFont="1" applyFill="1" applyBorder="1" applyAlignment="1" applyProtection="1">
      <alignment horizontal="right" vertical="center" wrapText="1"/>
      <protection locked="0"/>
    </xf>
    <xf numFmtId="164" fontId="0" fillId="0" borderId="12" xfId="0" applyNumberFormat="1" applyFill="1" applyBorder="1"/>
    <xf numFmtId="164" fontId="24" fillId="0" borderId="12" xfId="4" applyFont="1" applyFill="1" applyBorder="1" applyAlignment="1" applyProtection="1">
      <alignment horizontal="right" vertical="center" wrapText="1"/>
      <protection locked="0"/>
    </xf>
    <xf numFmtId="164" fontId="0" fillId="0" borderId="12" xfId="4" applyFont="1" applyFill="1" applyBorder="1"/>
    <xf numFmtId="49" fontId="24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25" fillId="0" borderId="12" xfId="0" applyFont="1" applyBorder="1" applyAlignment="1">
      <alignment horizontal="left"/>
    </xf>
    <xf numFmtId="164" fontId="25" fillId="0" borderId="12" xfId="4" applyFont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9" fillId="0" borderId="12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</cellXfs>
  <cellStyles count="46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2" xfId="29" builtinId="36" customBuiltin="1"/>
    <cellStyle name="60% - Accent3" xfId="33" builtinId="40" customBuiltin="1"/>
    <cellStyle name="60% - Accent4" xfId="37" builtinId="44" customBuiltin="1"/>
    <cellStyle name="60% - Accent5" xfId="41" builtinId="48" customBuiltin="1"/>
    <cellStyle name="60% - Accent6" xfId="45" builtinId="52" customBuiltin="1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4" builtinId="3"/>
    <cellStyle name="Excel Built-in Normal" xfId="1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2" builtinId="8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2" xfId="3"/>
    <cellStyle name="Note" xfId="19" builtinId="10" customBuiltin="1"/>
    <cellStyle name="Output" xfId="14" builtinId="21" customBuiltin="1"/>
    <cellStyle name="Title" xfId="5" builtinId="15" customBuiltin="1"/>
    <cellStyle name="Total" xfId="21" builtinId="25" customBuiltin="1"/>
    <cellStyle name="Warning Text" xfId="1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%20TAX%20FILINGS-2016-17/Maruthi%20Agencies/Sales%20Tax%20Return-2016-17/August/Annx-08-Goods_Purchased_in_the_Course_of_Inter_State_trade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sic Details"/>
      <sheetName val="Annexure-8"/>
      <sheetName val="Error"/>
      <sheetName val="Validations"/>
      <sheetName val="ValidationList"/>
      <sheetName val="Master"/>
      <sheetName val="Data"/>
      <sheetName val="Addrow_Column_Bean_Mapping"/>
      <sheetName val="GENERATED_XML_STR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 Form</v>
          </cell>
          <cell r="B1" t="str">
            <v>CFRM</v>
          </cell>
          <cell r="C1" t="str">
            <v>Andaman &amp; Nicobar</v>
          </cell>
        </row>
        <row r="2">
          <cell r="A2" t="str">
            <v>C form against EI/EII</v>
          </cell>
          <cell r="B2" t="str">
            <v>CFRM62</v>
          </cell>
          <cell r="C2" t="str">
            <v>Andhra Pradesh</v>
          </cell>
        </row>
        <row r="3">
          <cell r="A3" t="str">
            <v>Form H</v>
          </cell>
          <cell r="B3" t="str">
            <v>HFRM</v>
          </cell>
          <cell r="C3" t="str">
            <v>Arunachal Pradesh</v>
          </cell>
        </row>
        <row r="4">
          <cell r="A4" t="str">
            <v>Form I</v>
          </cell>
          <cell r="B4" t="str">
            <v>IFRM</v>
          </cell>
          <cell r="C4" t="str">
            <v>Assam</v>
          </cell>
        </row>
        <row r="5">
          <cell r="A5" t="str">
            <v>Without C Form</v>
          </cell>
          <cell r="B5" t="str">
            <v>NOFRM</v>
          </cell>
          <cell r="C5" t="str">
            <v>Bihar</v>
          </cell>
        </row>
        <row r="6">
          <cell r="C6" t="str">
            <v>Chandigarh</v>
          </cell>
        </row>
        <row r="7">
          <cell r="C7" t="str">
            <v>Chhattisgarh</v>
          </cell>
        </row>
        <row r="8">
          <cell r="C8" t="str">
            <v>Dadra and Nagar Haveli</v>
          </cell>
        </row>
        <row r="9">
          <cell r="C9" t="str">
            <v>Daman &amp; Diu</v>
          </cell>
        </row>
        <row r="10">
          <cell r="C10" t="str">
            <v>Delhi</v>
          </cell>
        </row>
        <row r="11">
          <cell r="C11" t="str">
            <v>Goa</v>
          </cell>
        </row>
        <row r="12">
          <cell r="C12" t="str">
            <v>Gujarat</v>
          </cell>
        </row>
        <row r="13">
          <cell r="C13" t="str">
            <v>Haryana</v>
          </cell>
        </row>
        <row r="14">
          <cell r="C14" t="str">
            <v>Himachal Pradesh</v>
          </cell>
        </row>
        <row r="15">
          <cell r="C15" t="str">
            <v>Jammu &amp; Kashmir</v>
          </cell>
        </row>
        <row r="16">
          <cell r="C16" t="str">
            <v>Jharkhand</v>
          </cell>
        </row>
        <row r="17">
          <cell r="C17" t="str">
            <v>Karnataka</v>
          </cell>
        </row>
        <row r="18">
          <cell r="C18" t="str">
            <v>Kerala</v>
          </cell>
        </row>
        <row r="19">
          <cell r="C19" t="str">
            <v>Lakshadweep</v>
          </cell>
        </row>
        <row r="20">
          <cell r="C20" t="str">
            <v>Madhya Pradesh</v>
          </cell>
        </row>
        <row r="21">
          <cell r="C21" t="str">
            <v>Maharashtra</v>
          </cell>
        </row>
        <row r="22">
          <cell r="C22" t="str">
            <v>Manipur</v>
          </cell>
        </row>
        <row r="23">
          <cell r="C23" t="str">
            <v>Meghalaya</v>
          </cell>
        </row>
        <row r="24">
          <cell r="C24" t="str">
            <v>Mizoram</v>
          </cell>
        </row>
        <row r="25">
          <cell r="C25" t="str">
            <v>Nagaland</v>
          </cell>
        </row>
        <row r="26">
          <cell r="C26" t="str">
            <v>Odisha (formerly Orissa)</v>
          </cell>
        </row>
        <row r="27">
          <cell r="C27" t="str">
            <v>Puducherry</v>
          </cell>
        </row>
        <row r="28">
          <cell r="C28" t="str">
            <v>Punjab</v>
          </cell>
        </row>
        <row r="29">
          <cell r="C29" t="str">
            <v>Rajasthan</v>
          </cell>
        </row>
        <row r="30">
          <cell r="C30" t="str">
            <v>Sikkim</v>
          </cell>
        </row>
        <row r="31">
          <cell r="C31" t="str">
            <v>Tamil Nadu</v>
          </cell>
        </row>
        <row r="32">
          <cell r="C32" t="str">
            <v>Telangana</v>
          </cell>
        </row>
        <row r="33">
          <cell r="C33" t="str">
            <v>Tripura</v>
          </cell>
        </row>
        <row r="34">
          <cell r="C34" t="str">
            <v>Uttar Pradesh</v>
          </cell>
        </row>
        <row r="35">
          <cell r="C35" t="str">
            <v>Uttarakhand (formerly Uttaranchal)</v>
          </cell>
        </row>
        <row r="36">
          <cell r="C36" t="str">
            <v>West Bengal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28"/>
  <sheetViews>
    <sheetView topLeftCell="G1" workbookViewId="0">
      <selection activeCell="K7" sqref="K7"/>
    </sheetView>
  </sheetViews>
  <sheetFormatPr defaultRowHeight="15" x14ac:dyDescent="0.25"/>
  <cols>
    <col min="1" max="1" width="5.7109375" style="10" bestFit="1" customWidth="1"/>
    <col min="2" max="2" width="18" style="10" customWidth="1"/>
    <col min="3" max="3" width="26" style="10" bestFit="1" customWidth="1"/>
    <col min="4" max="4" width="8.7109375" style="10" bestFit="1" customWidth="1"/>
    <col min="5" max="5" width="40.42578125" style="10" customWidth="1"/>
    <col min="6" max="6" width="39.28515625" style="10" customWidth="1"/>
    <col min="7" max="7" width="41.5703125" style="10" customWidth="1"/>
    <col min="8" max="8" width="25.85546875" style="10" customWidth="1"/>
    <col min="9" max="9" width="31.140625" style="10" customWidth="1"/>
    <col min="10" max="10" width="31.7109375" style="10" customWidth="1"/>
    <col min="11" max="11" width="21" style="10" customWidth="1"/>
    <col min="12" max="12" width="27.5703125" style="10" customWidth="1"/>
    <col min="13" max="26" width="9.140625" style="10"/>
    <col min="27" max="27" width="34" style="10" customWidth="1"/>
    <col min="28" max="33" width="9.140625" style="10"/>
    <col min="34" max="34" width="25.28515625" style="10" customWidth="1"/>
    <col min="35" max="16384" width="9.140625" style="10"/>
  </cols>
  <sheetData>
    <row r="1" spans="1:12" ht="22.5" customHeight="1" x14ac:dyDescent="0.25">
      <c r="A1" s="25" t="s">
        <v>13</v>
      </c>
      <c r="B1" s="25" t="s">
        <v>14</v>
      </c>
      <c r="C1" s="25" t="s">
        <v>15</v>
      </c>
      <c r="D1" s="25" t="s">
        <v>16</v>
      </c>
      <c r="E1" s="25" t="s">
        <v>17</v>
      </c>
      <c r="F1" s="25" t="s">
        <v>86</v>
      </c>
      <c r="G1" s="25" t="s">
        <v>18</v>
      </c>
      <c r="H1" s="25" t="s">
        <v>19</v>
      </c>
      <c r="I1" s="25" t="s">
        <v>20</v>
      </c>
      <c r="J1" s="25" t="s">
        <v>21</v>
      </c>
      <c r="K1" s="25" t="s">
        <v>69</v>
      </c>
      <c r="L1" s="22" t="str">
        <f>J26</f>
        <v>&lt;/RtnVATAnx1PurcRegDlrMainVOBean&gt;</v>
      </c>
    </row>
    <row r="2" spans="1:12" ht="15" customHeight="1" x14ac:dyDescent="0.25">
      <c r="A2" s="25">
        <v>1</v>
      </c>
      <c r="B2" s="25" t="s">
        <v>23</v>
      </c>
      <c r="C2" s="25" t="s">
        <v>22</v>
      </c>
      <c r="D2" s="25"/>
      <c r="E2" s="25" t="s">
        <v>82</v>
      </c>
      <c r="F2" s="25"/>
      <c r="G2" s="26" t="str">
        <f t="shared" ref="G2:G7" si="0">CONCATENATE("&lt;",E2,"&gt;")</f>
        <v>&lt;RtnVATAnx1PurcRegDlrMainVOBean&gt;</v>
      </c>
      <c r="H2" s="25"/>
      <c r="I2" s="25"/>
      <c r="J2" s="26" t="str">
        <f>CONCATENATE(G2,H2,I2)</f>
        <v>&lt;RtnVATAnx1PurcRegDlrMainVOBean&gt;</v>
      </c>
      <c r="K2" s="25" t="s">
        <v>70</v>
      </c>
      <c r="L2" s="22"/>
    </row>
    <row r="3" spans="1:12" ht="15" customHeight="1" x14ac:dyDescent="0.25">
      <c r="A3" s="25"/>
      <c r="B3" s="25" t="s">
        <v>23</v>
      </c>
      <c r="C3" s="25" t="s">
        <v>22</v>
      </c>
      <c r="D3" s="25"/>
      <c r="E3" s="25" t="s">
        <v>28</v>
      </c>
      <c r="F3" s="25"/>
      <c r="G3" s="26" t="str">
        <f t="shared" si="0"/>
        <v>&lt;rtnBasicDtlsVOBean&gt;</v>
      </c>
      <c r="H3" s="25"/>
      <c r="I3" s="26"/>
      <c r="J3" s="26" t="str">
        <f>CONCATENATE("&lt;",E3,"&gt;")</f>
        <v>&lt;rtnBasicDtlsVOBean&gt;</v>
      </c>
      <c r="K3" s="25" t="s">
        <v>40</v>
      </c>
      <c r="L3" s="22"/>
    </row>
    <row r="4" spans="1:12" x14ac:dyDescent="0.25">
      <c r="A4" s="25"/>
      <c r="B4" s="25" t="s">
        <v>23</v>
      </c>
      <c r="C4" s="25" t="s">
        <v>29</v>
      </c>
      <c r="D4" s="25"/>
      <c r="E4" s="25" t="s">
        <v>29</v>
      </c>
      <c r="F4" s="25"/>
      <c r="G4" s="26" t="str">
        <f t="shared" si="0"/>
        <v>&lt;version&gt;</v>
      </c>
      <c r="H4" s="25" t="e">
        <f>IF(version&lt;&gt;"",version,"")</f>
        <v>#REF!</v>
      </c>
      <c r="I4" s="25" t="str">
        <f>CONCATENATE("&lt;/",E4,"&gt;")</f>
        <v>&lt;/version&gt;</v>
      </c>
      <c r="J4" s="26" t="e">
        <f>CONCATENATE(G4,H4,I4)</f>
        <v>#REF!</v>
      </c>
      <c r="K4" s="25" t="s">
        <v>41</v>
      </c>
      <c r="L4" s="22"/>
    </row>
    <row r="5" spans="1:12" x14ac:dyDescent="0.25">
      <c r="A5" s="25"/>
      <c r="B5" s="25" t="s">
        <v>23</v>
      </c>
      <c r="C5" s="25" t="s">
        <v>48</v>
      </c>
      <c r="D5" s="25"/>
      <c r="E5" s="25" t="s">
        <v>48</v>
      </c>
      <c r="F5" s="25"/>
      <c r="G5" s="26" t="str">
        <f t="shared" si="0"/>
        <v>&lt;tin&gt;</v>
      </c>
      <c r="H5" s="25" t="e">
        <f>IF(tin&lt;&gt;"",tin,"")</f>
        <v>#REF!</v>
      </c>
      <c r="I5" s="25" t="str">
        <f>CONCATENATE("&lt;/",E5,"&gt;")</f>
        <v>&lt;/tin&gt;</v>
      </c>
      <c r="J5" s="26" t="e">
        <f>CONCATENATE(G5,H5,I5)</f>
        <v>#REF!</v>
      </c>
      <c r="K5" s="25" t="s">
        <v>42</v>
      </c>
      <c r="L5" s="22"/>
    </row>
    <row r="6" spans="1:12" x14ac:dyDescent="0.25">
      <c r="A6" s="25"/>
      <c r="B6" s="25" t="s">
        <v>23</v>
      </c>
      <c r="C6" s="25" t="s">
        <v>30</v>
      </c>
      <c r="D6" s="25"/>
      <c r="E6" s="25" t="s">
        <v>30</v>
      </c>
      <c r="F6" s="25"/>
      <c r="G6" s="26" t="str">
        <f t="shared" si="0"/>
        <v>&lt;periodFrom&gt;</v>
      </c>
      <c r="H6" s="25" t="e">
        <f>IF(periodFrom&lt;&gt;"",periodFrom,"")</f>
        <v>#REF!</v>
      </c>
      <c r="I6" s="25" t="str">
        <f>CONCATENATE("&lt;/",E6,"&gt;")</f>
        <v>&lt;/periodFrom&gt;</v>
      </c>
      <c r="J6" s="26" t="e">
        <f>CONCATENATE(G6,H6,I6)</f>
        <v>#REF!</v>
      </c>
      <c r="K6" s="25" t="s">
        <v>43</v>
      </c>
      <c r="L6" s="22"/>
    </row>
    <row r="7" spans="1:12" x14ac:dyDescent="0.25">
      <c r="A7" s="25"/>
      <c r="B7" s="25" t="s">
        <v>23</v>
      </c>
      <c r="C7" s="25" t="s">
        <v>31</v>
      </c>
      <c r="D7" s="25"/>
      <c r="E7" s="25" t="s">
        <v>31</v>
      </c>
      <c r="F7" s="25"/>
      <c r="G7" s="26" t="str">
        <f t="shared" si="0"/>
        <v>&lt;periodTo&gt;</v>
      </c>
      <c r="H7" s="25" t="e">
        <f>IF(periodTo&lt;&gt;"",periodTo,"")</f>
        <v>#REF!</v>
      </c>
      <c r="I7" s="25" t="str">
        <f>CONCATENATE("&lt;/",E7,"&gt;")</f>
        <v>&lt;/periodTo&gt;</v>
      </c>
      <c r="J7" s="26" t="e">
        <f>CONCATENATE(G7,H7,I7)</f>
        <v>#REF!</v>
      </c>
      <c r="K7" s="25" t="s">
        <v>44</v>
      </c>
      <c r="L7" s="22"/>
    </row>
    <row r="8" spans="1:12" x14ac:dyDescent="0.25">
      <c r="A8" s="25"/>
      <c r="B8" s="25" t="s">
        <v>23</v>
      </c>
      <c r="C8" s="25" t="s">
        <v>22</v>
      </c>
      <c r="D8" s="25"/>
      <c r="E8" s="25" t="s">
        <v>28</v>
      </c>
      <c r="F8" s="25"/>
      <c r="G8" s="26"/>
      <c r="H8" s="25"/>
      <c r="I8" s="25" t="str">
        <f>CONCATENATE("&lt;/",E8,"&gt;")</f>
        <v>&lt;/rtnBasicDtlsVOBean&gt;</v>
      </c>
      <c r="J8" s="26" t="str">
        <f>CONCATENATE(I8)</f>
        <v>&lt;/rtnBasicDtlsVOBean&gt;</v>
      </c>
      <c r="K8" s="25" t="s">
        <v>37</v>
      </c>
      <c r="L8" s="22"/>
    </row>
    <row r="9" spans="1:12" x14ac:dyDescent="0.25">
      <c r="A9" s="25"/>
      <c r="B9" s="25" t="s">
        <v>60</v>
      </c>
      <c r="C9" s="25" t="s">
        <v>22</v>
      </c>
      <c r="D9" s="25"/>
      <c r="E9" s="25" t="s">
        <v>83</v>
      </c>
      <c r="F9" s="25"/>
      <c r="G9" s="26" t="str">
        <f>CONCATENATE("&lt;",E9,"&gt;")</f>
        <v>&lt;lstRtnVATAnx1Dtls&gt;</v>
      </c>
      <c r="H9" s="25"/>
      <c r="I9" s="25"/>
      <c r="J9" s="26" t="str">
        <f>CONCATENATE(G9,H9,I9)</f>
        <v>&lt;lstRtnVATAnx1Dtls&gt;</v>
      </c>
      <c r="K9" s="25" t="s">
        <v>47</v>
      </c>
      <c r="L9" s="22"/>
    </row>
    <row r="10" spans="1:12" x14ac:dyDescent="0.25">
      <c r="A10" s="25"/>
      <c r="B10" s="25" t="s">
        <v>60</v>
      </c>
      <c r="C10" s="25" t="s">
        <v>71</v>
      </c>
      <c r="D10" s="25" t="s">
        <v>3</v>
      </c>
      <c r="E10" s="25" t="s">
        <v>84</v>
      </c>
      <c r="F10" s="25"/>
      <c r="G10" s="25"/>
      <c r="H10" s="25" t="str">
        <f>IF(COUNTBLANK(Annexure1Col)=(COLUMNS(Annexure1Col)*ROWS(Annexure1Col)),"",IF(ISBLANK(B10:C10)="TRUE","","True"))</f>
        <v>True</v>
      </c>
      <c r="I10" s="25"/>
      <c r="J10" s="26" t="e">
        <f>CONCATENATE(J2,J3,J4,J5,J6,J7,J8,J9)</f>
        <v>#REF!</v>
      </c>
      <c r="K10" s="25" t="s">
        <v>46</v>
      </c>
      <c r="L10" s="22"/>
    </row>
    <row r="11" spans="1:12" x14ac:dyDescent="0.25">
      <c r="A11" s="25"/>
      <c r="B11" s="25" t="s">
        <v>60</v>
      </c>
      <c r="C11" s="25" t="s">
        <v>22</v>
      </c>
      <c r="D11" s="25"/>
      <c r="E11" s="25" t="s">
        <v>83</v>
      </c>
      <c r="F11" s="25"/>
      <c r="G11" s="25"/>
      <c r="H11" s="25"/>
      <c r="I11" s="25" t="str">
        <f>CONCATENATE("&lt;/",E11,"&gt;")</f>
        <v>&lt;/lstRtnVATAnx1Dtls&gt;</v>
      </c>
      <c r="J11" s="26" t="str">
        <f>CONCATENATE(G11,H11,I11)</f>
        <v>&lt;/lstRtnVATAnx1Dtls&gt;</v>
      </c>
      <c r="K11" s="25" t="s">
        <v>45</v>
      </c>
      <c r="L11" s="22"/>
    </row>
    <row r="12" spans="1:12" x14ac:dyDescent="0.25">
      <c r="A12" s="25"/>
      <c r="B12" s="25" t="s">
        <v>60</v>
      </c>
      <c r="C12" s="25" t="s">
        <v>22</v>
      </c>
      <c r="D12" s="25"/>
      <c r="E12" s="25" t="s">
        <v>49</v>
      </c>
      <c r="F12" s="25"/>
      <c r="G12" s="26" t="str">
        <f t="shared" ref="G12:G21" si="1">CONCATENATE("&lt;",E12,"&gt;")</f>
        <v>&lt;rtnVatFormIBaseStagVOBean&gt;</v>
      </c>
      <c r="H12" s="25"/>
      <c r="I12" s="26"/>
      <c r="J12" s="26" t="str">
        <f>CONCATENATE("&lt;",E12,"&gt;")</f>
        <v>&lt;rtnVatFormIBaseStagVOBean&gt;</v>
      </c>
      <c r="K12" s="22"/>
      <c r="L12" s="22"/>
    </row>
    <row r="13" spans="1:12" x14ac:dyDescent="0.25">
      <c r="A13" s="25"/>
      <c r="B13" s="25" t="s">
        <v>60</v>
      </c>
      <c r="C13" s="25" t="s">
        <v>72</v>
      </c>
      <c r="D13" s="25"/>
      <c r="E13" s="25" t="s">
        <v>72</v>
      </c>
      <c r="F13" s="25"/>
      <c r="G13" s="26" t="str">
        <f t="shared" si="1"/>
        <v>&lt;p1PvLocPurRegDlr&gt;</v>
      </c>
      <c r="H13" s="25" t="e">
        <f>IF(p1PvLocPurRegDlr&lt;&gt;"",p1PvLocPurRegDlr,0)</f>
        <v>#REF!</v>
      </c>
      <c r="I13" s="25" t="str">
        <f t="shared" ref="I13:I26" si="2">CONCATENATE("&lt;/",E13,"&gt;")</f>
        <v>&lt;/p1PvLocPurRegDlr&gt;</v>
      </c>
      <c r="J13" s="26" t="e">
        <f t="shared" ref="J13:J21" si="3">CONCATENATE(G13,H13,I13)</f>
        <v>#REF!</v>
      </c>
      <c r="K13" s="22"/>
      <c r="L13" s="22"/>
    </row>
    <row r="14" spans="1:12" x14ac:dyDescent="0.25">
      <c r="A14" s="25"/>
      <c r="B14" s="25" t="s">
        <v>60</v>
      </c>
      <c r="C14" s="25" t="s">
        <v>73</v>
      </c>
      <c r="D14" s="25"/>
      <c r="E14" s="25" t="s">
        <v>73</v>
      </c>
      <c r="F14" s="25"/>
      <c r="G14" s="26" t="str">
        <f t="shared" si="1"/>
        <v>&lt;p2PvLocPurRegDlr&gt;</v>
      </c>
      <c r="H14" s="25" t="e">
        <f>IF(p2PvLocPurRegDlr&lt;&gt;"",p2PvLocPurRegDlr,0)</f>
        <v>#REF!</v>
      </c>
      <c r="I14" s="25" t="str">
        <f t="shared" si="2"/>
        <v>&lt;/p2PvLocPurRegDlr&gt;</v>
      </c>
      <c r="J14" s="26" t="e">
        <f t="shared" si="3"/>
        <v>#REF!</v>
      </c>
      <c r="K14" s="22"/>
      <c r="L14" s="22"/>
    </row>
    <row r="15" spans="1:12" x14ac:dyDescent="0.25">
      <c r="A15" s="25"/>
      <c r="B15" s="25" t="s">
        <v>60</v>
      </c>
      <c r="C15" s="25" t="s">
        <v>74</v>
      </c>
      <c r="D15" s="25"/>
      <c r="E15" s="25" t="s">
        <v>74</v>
      </c>
      <c r="F15" s="25"/>
      <c r="G15" s="26" t="str">
        <f t="shared" si="1"/>
        <v>&lt;p5PvLocPurRegDlr&gt;</v>
      </c>
      <c r="H15" s="25" t="e">
        <f>IF(p5PvLocPurRegDlr&lt;&gt;"",p5PvLocPurRegDlr,0)</f>
        <v>#REF!</v>
      </c>
      <c r="I15" s="25" t="str">
        <f t="shared" si="2"/>
        <v>&lt;/p5PvLocPurRegDlr&gt;</v>
      </c>
      <c r="J15" s="26" t="e">
        <f t="shared" si="3"/>
        <v>#REF!</v>
      </c>
      <c r="K15" s="22"/>
      <c r="L15" s="22"/>
    </row>
    <row r="16" spans="1:12" x14ac:dyDescent="0.25">
      <c r="A16" s="25"/>
      <c r="B16" s="25" t="s">
        <v>60</v>
      </c>
      <c r="C16" s="25" t="s">
        <v>75</v>
      </c>
      <c r="D16" s="25"/>
      <c r="E16" s="25" t="s">
        <v>75</v>
      </c>
      <c r="F16" s="25"/>
      <c r="G16" s="26" t="str">
        <f t="shared" si="1"/>
        <v>&lt;p145PvLocPurRegDlr&gt;</v>
      </c>
      <c r="H16" s="25" t="e">
        <f>IF(p145PvLocPurRegDlr&lt;&gt;"",p145PvLocPurRegDlr,0)</f>
        <v>#REF!</v>
      </c>
      <c r="I16" s="25" t="str">
        <f t="shared" si="2"/>
        <v>&lt;/p145PvLocPurRegDlr&gt;</v>
      </c>
      <c r="J16" s="26" t="e">
        <f t="shared" si="3"/>
        <v>#REF!</v>
      </c>
      <c r="K16" s="22"/>
      <c r="L16" s="22"/>
    </row>
    <row r="17" spans="1:12" x14ac:dyDescent="0.25">
      <c r="A17" s="25"/>
      <c r="B17" s="25" t="s">
        <v>60</v>
      </c>
      <c r="C17" s="25" t="s">
        <v>76</v>
      </c>
      <c r="D17" s="25"/>
      <c r="E17" s="25" t="s">
        <v>76</v>
      </c>
      <c r="F17" s="25"/>
      <c r="G17" s="26" t="str">
        <f t="shared" si="1"/>
        <v>&lt;p1ItcLocPurRegDlr&gt;</v>
      </c>
      <c r="H17" s="25" t="e">
        <f>IF(p1ItcLocPurRegDlr&lt;&gt;"",p1ItcLocPurRegDlr,0)</f>
        <v>#REF!</v>
      </c>
      <c r="I17" s="25" t="str">
        <f t="shared" si="2"/>
        <v>&lt;/p1ItcLocPurRegDlr&gt;</v>
      </c>
      <c r="J17" s="26" t="e">
        <f t="shared" si="3"/>
        <v>#REF!</v>
      </c>
      <c r="K17" s="22"/>
      <c r="L17" s="22"/>
    </row>
    <row r="18" spans="1:12" x14ac:dyDescent="0.25">
      <c r="A18" s="25"/>
      <c r="B18" s="25" t="s">
        <v>60</v>
      </c>
      <c r="C18" s="25" t="s">
        <v>77</v>
      </c>
      <c r="D18" s="25"/>
      <c r="E18" s="25" t="s">
        <v>77</v>
      </c>
      <c r="F18" s="25"/>
      <c r="G18" s="26" t="str">
        <f t="shared" si="1"/>
        <v>&lt;p2ItcLocPurRegDlr&gt;</v>
      </c>
      <c r="H18" s="25" t="e">
        <f>IF(p2ItcLocPurRegDlr&lt;&gt;"",p2ItcLocPurRegDlr,0)</f>
        <v>#REF!</v>
      </c>
      <c r="I18" s="25" t="str">
        <f t="shared" si="2"/>
        <v>&lt;/p2ItcLocPurRegDlr&gt;</v>
      </c>
      <c r="J18" s="26" t="e">
        <f t="shared" si="3"/>
        <v>#REF!</v>
      </c>
      <c r="K18" s="22"/>
      <c r="L18" s="22"/>
    </row>
    <row r="19" spans="1:12" x14ac:dyDescent="0.25">
      <c r="A19" s="25"/>
      <c r="B19" s="25" t="s">
        <v>60</v>
      </c>
      <c r="C19" s="25" t="s">
        <v>78</v>
      </c>
      <c r="D19" s="25"/>
      <c r="E19" s="25" t="s">
        <v>78</v>
      </c>
      <c r="F19" s="25"/>
      <c r="G19" s="26" t="str">
        <f t="shared" si="1"/>
        <v>&lt;p5ItcLocPurRegDlr&gt;</v>
      </c>
      <c r="H19" s="25" t="e">
        <f>IF(p5ItcLocPurRegDlr&lt;&gt;"",p5ItcLocPurRegDlr,0)</f>
        <v>#REF!</v>
      </c>
      <c r="I19" s="25" t="str">
        <f t="shared" si="2"/>
        <v>&lt;/p5ItcLocPurRegDlr&gt;</v>
      </c>
      <c r="J19" s="26" t="e">
        <f t="shared" si="3"/>
        <v>#REF!</v>
      </c>
      <c r="K19" s="22"/>
      <c r="L19" s="22"/>
    </row>
    <row r="20" spans="1:12" x14ac:dyDescent="0.25">
      <c r="A20" s="25"/>
      <c r="B20" s="25" t="s">
        <v>60</v>
      </c>
      <c r="C20" s="25" t="s">
        <v>79</v>
      </c>
      <c r="D20" s="25"/>
      <c r="E20" s="25" t="s">
        <v>79</v>
      </c>
      <c r="F20" s="25"/>
      <c r="G20" s="26" t="str">
        <f t="shared" si="1"/>
        <v>&lt;p145ItcLocPurRegDlr&gt;</v>
      </c>
      <c r="H20" s="25" t="e">
        <f>IF(p145ItcLocPurRegDlr&lt;&gt;"",p145ItcLocPurRegDlr,0)</f>
        <v>#REF!</v>
      </c>
      <c r="I20" s="25" t="str">
        <f t="shared" si="2"/>
        <v>&lt;/p145ItcLocPurRegDlr&gt;</v>
      </c>
      <c r="J20" s="26" t="e">
        <f t="shared" si="3"/>
        <v>#REF!</v>
      </c>
      <c r="K20" s="22"/>
      <c r="L20" s="22"/>
    </row>
    <row r="21" spans="1:12" x14ac:dyDescent="0.25">
      <c r="A21" s="25"/>
      <c r="B21" s="25" t="s">
        <v>60</v>
      </c>
      <c r="C21" s="25" t="s">
        <v>80</v>
      </c>
      <c r="D21" s="25"/>
      <c r="E21" s="25" t="s">
        <v>80</v>
      </c>
      <c r="F21" s="25"/>
      <c r="G21" s="26" t="str">
        <f t="shared" si="1"/>
        <v>&lt;totItcLocPurRegDlr&gt;</v>
      </c>
      <c r="H21" s="25" t="e">
        <f>IF(totItcLocPurRegDlr&lt;&gt;"",totItcLocPurRegDlr,0)</f>
        <v>#REF!</v>
      </c>
      <c r="I21" s="25" t="str">
        <f t="shared" si="2"/>
        <v>&lt;/totItcLocPurRegDlr&gt;</v>
      </c>
      <c r="J21" s="26" t="e">
        <f t="shared" si="3"/>
        <v>#REF!</v>
      </c>
      <c r="K21" s="22"/>
      <c r="L21" s="22"/>
    </row>
    <row r="22" spans="1:12" x14ac:dyDescent="0.25">
      <c r="A22" s="25"/>
      <c r="B22" s="25" t="s">
        <v>60</v>
      </c>
      <c r="C22" s="25" t="s">
        <v>22</v>
      </c>
      <c r="D22" s="25"/>
      <c r="E22" s="25" t="s">
        <v>49</v>
      </c>
      <c r="F22" s="25"/>
      <c r="G22" s="26"/>
      <c r="H22" s="25"/>
      <c r="I22" s="25" t="str">
        <f t="shared" si="2"/>
        <v>&lt;/rtnVatFormIBaseStagVOBean&gt;</v>
      </c>
      <c r="J22" s="26" t="str">
        <f>CONCATENATE(I22)</f>
        <v>&lt;/rtnVatFormIBaseStagVOBean&gt;</v>
      </c>
      <c r="K22" s="22"/>
      <c r="L22" s="22"/>
    </row>
    <row r="23" spans="1:12" x14ac:dyDescent="0.25">
      <c r="A23" s="25"/>
      <c r="B23" s="25" t="s">
        <v>60</v>
      </c>
      <c r="C23" s="25" t="s">
        <v>22</v>
      </c>
      <c r="D23" s="25"/>
      <c r="E23" s="25" t="s">
        <v>85</v>
      </c>
      <c r="F23" s="25"/>
      <c r="G23" s="26" t="str">
        <f>CONCATENATE("&lt;",E23,"&gt;")</f>
        <v>&lt;rtnVATFormIAnxSummaryVOBean&gt;</v>
      </c>
      <c r="H23" s="25"/>
      <c r="I23" s="26"/>
      <c r="J23" s="26" t="str">
        <f>CONCATENATE("&lt;",E23,"&gt;")</f>
        <v>&lt;rtnVATFormIAnxSummaryVOBean&gt;</v>
      </c>
      <c r="K23" s="22"/>
      <c r="L23" s="22"/>
    </row>
    <row r="24" spans="1:12" x14ac:dyDescent="0.25">
      <c r="A24" s="25"/>
      <c r="B24" s="25" t="s">
        <v>60</v>
      </c>
      <c r="C24" s="25" t="s">
        <v>81</v>
      </c>
      <c r="D24" s="25"/>
      <c r="E24" s="25" t="s">
        <v>81</v>
      </c>
      <c r="F24" s="25"/>
      <c r="G24" s="26" t="str">
        <f>CONCATENATE("&lt;",E24,"&gt;")</f>
        <v>&lt;totPvLocPurRegDlrAn1&gt;</v>
      </c>
      <c r="H24" s="25" t="e">
        <f>IF(totPvLocPurRegDlrAn1&lt;&gt;"",totPvLocPurRegDlrAn1,0)</f>
        <v>#REF!</v>
      </c>
      <c r="I24" s="25" t="str">
        <f>CONCATENATE("&lt;/",E24,"&gt;")</f>
        <v>&lt;/totPvLocPurRegDlrAn1&gt;</v>
      </c>
      <c r="J24" s="26" t="e">
        <f>CONCATENATE(G24,H24,I24)</f>
        <v>#REF!</v>
      </c>
      <c r="K24" s="22"/>
      <c r="L24" s="22"/>
    </row>
    <row r="25" spans="1:12" x14ac:dyDescent="0.25">
      <c r="A25" s="25"/>
      <c r="B25" s="25" t="s">
        <v>60</v>
      </c>
      <c r="C25" s="25" t="s">
        <v>22</v>
      </c>
      <c r="D25" s="25"/>
      <c r="E25" s="25" t="s">
        <v>85</v>
      </c>
      <c r="F25" s="25"/>
      <c r="G25" s="26"/>
      <c r="H25" s="25" t="s">
        <v>95</v>
      </c>
      <c r="I25" s="25" t="str">
        <f>CONCATENATE("&lt;/",E25,"&gt;")</f>
        <v>&lt;/rtnVATFormIAnxSummaryVOBean&gt;</v>
      </c>
      <c r="J25" s="26" t="str">
        <f>CONCATENATE(I25)</f>
        <v>&lt;/rtnVATFormIAnxSummaryVOBean&gt;</v>
      </c>
      <c r="K25" s="22"/>
      <c r="L25" s="22"/>
    </row>
    <row r="26" spans="1:12" x14ac:dyDescent="0.25">
      <c r="A26" s="25"/>
      <c r="B26" s="25" t="s">
        <v>60</v>
      </c>
      <c r="C26" s="25" t="s">
        <v>22</v>
      </c>
      <c r="D26" s="25"/>
      <c r="E26" s="25" t="s">
        <v>82</v>
      </c>
      <c r="F26" s="25"/>
      <c r="G26" s="25"/>
      <c r="H26" s="25"/>
      <c r="I26" s="25" t="str">
        <f t="shared" si="2"/>
        <v>&lt;/RtnVATAnx1PurcRegDlrMainVOBean&gt;</v>
      </c>
      <c r="J26" s="26" t="str">
        <f>CONCATENATE(I26)</f>
        <v>&lt;/RtnVATAnx1PurcRegDlrMainVOBean&gt;</v>
      </c>
      <c r="K26" s="22"/>
      <c r="L26" s="22"/>
    </row>
    <row r="27" spans="1:12" x14ac:dyDescent="0.25">
      <c r="A27" s="25"/>
      <c r="B27" s="25" t="s">
        <v>60</v>
      </c>
      <c r="C27" s="25"/>
      <c r="D27" s="25"/>
      <c r="E27" s="25"/>
      <c r="F27" s="25"/>
      <c r="G27" s="25"/>
      <c r="H27" s="25"/>
      <c r="I27" s="25" t="s">
        <v>98</v>
      </c>
      <c r="J27" s="25"/>
      <c r="K27" s="27"/>
      <c r="L27" s="27"/>
    </row>
    <row r="28" spans="1:12" x14ac:dyDescent="0.25">
      <c r="A28" s="25"/>
      <c r="B28" s="25" t="s">
        <v>60</v>
      </c>
      <c r="C28" s="25"/>
      <c r="D28" s="25"/>
      <c r="E28" s="25"/>
      <c r="F28" s="25"/>
      <c r="G28" s="25"/>
      <c r="H28" s="25"/>
      <c r="I28" s="25" t="e">
        <f>CONCATENATE(J11,J12,J13,J14,J15,J16,J17,J18,J19,J20,J21,J22,J23,J24,J25,J26)</f>
        <v>#REF!</v>
      </c>
      <c r="J28" s="25" t="e">
        <f>CONCATENATE(J11,J12,J13,J14,J15,J16,J17,J18,J19,J20,J21,J22,J23,J24,J25,J26)</f>
        <v>#REF!</v>
      </c>
      <c r="K28" s="22"/>
      <c r="L28" s="22"/>
    </row>
  </sheetData>
  <sheetProtection password="8C17" sheet="1" objects="1" scenarios="1" selectLockedCells="1" selectUn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S62"/>
  <sheetViews>
    <sheetView workbookViewId="0">
      <selection activeCell="E5" sqref="E5"/>
    </sheetView>
  </sheetViews>
  <sheetFormatPr defaultRowHeight="15" x14ac:dyDescent="0.25"/>
  <cols>
    <col min="1" max="1" width="16.140625" style="16" bestFit="1" customWidth="1"/>
    <col min="2" max="3" width="26.85546875" style="16" bestFit="1" customWidth="1"/>
    <col min="4" max="5" width="29" style="16" bestFit="1" customWidth="1"/>
    <col min="6" max="9" width="26.85546875" style="16" bestFit="1" customWidth="1"/>
    <col min="10" max="10" width="26.85546875" style="16" customWidth="1"/>
    <col min="11" max="48" width="26.85546875" style="16" bestFit="1" customWidth="1"/>
    <col min="49" max="16384" width="9.140625" style="16"/>
  </cols>
  <sheetData>
    <row r="1" spans="1:71" ht="22.5" customHeight="1" x14ac:dyDescent="0.25">
      <c r="A1" s="12" t="s">
        <v>0</v>
      </c>
      <c r="B1" s="12" t="s">
        <v>1</v>
      </c>
      <c r="C1" s="12" t="s">
        <v>1</v>
      </c>
      <c r="D1" s="12" t="s">
        <v>1</v>
      </c>
      <c r="E1" s="12" t="s">
        <v>1</v>
      </c>
      <c r="F1" s="12" t="s">
        <v>1</v>
      </c>
      <c r="G1" s="12" t="s">
        <v>1</v>
      </c>
      <c r="H1" s="12" t="s">
        <v>1</v>
      </c>
      <c r="I1" s="12" t="s">
        <v>1</v>
      </c>
      <c r="J1" s="12" t="s">
        <v>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</row>
    <row r="2" spans="1:71" s="17" customFormat="1" ht="22.5" x14ac:dyDescent="0.25">
      <c r="A2" s="12" t="s">
        <v>60</v>
      </c>
      <c r="B2" s="11" t="s">
        <v>53</v>
      </c>
      <c r="C2" s="11" t="s">
        <v>54</v>
      </c>
      <c r="D2" s="11" t="s">
        <v>55</v>
      </c>
      <c r="E2" s="11" t="s">
        <v>56</v>
      </c>
      <c r="F2" s="11" t="s">
        <v>57</v>
      </c>
      <c r="G2" s="11" t="s">
        <v>58</v>
      </c>
      <c r="H2" s="11" t="s">
        <v>39</v>
      </c>
      <c r="I2" s="11" t="s">
        <v>59</v>
      </c>
      <c r="J2" s="11" t="s">
        <v>38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</row>
    <row r="3" spans="1:71" s="17" customFormat="1" x14ac:dyDescent="0.25">
      <c r="A3" s="13" t="s">
        <v>2</v>
      </c>
      <c r="B3" s="14" t="s">
        <v>3</v>
      </c>
      <c r="C3" s="14" t="s">
        <v>3</v>
      </c>
      <c r="D3" s="14" t="s">
        <v>3</v>
      </c>
      <c r="E3" s="14" t="s">
        <v>3</v>
      </c>
      <c r="F3" s="14" t="s">
        <v>3</v>
      </c>
      <c r="G3" s="14" t="s">
        <v>3</v>
      </c>
      <c r="H3" s="14" t="s">
        <v>3</v>
      </c>
      <c r="I3" s="14" t="s">
        <v>6</v>
      </c>
      <c r="J3" s="14" t="s">
        <v>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</row>
    <row r="4" spans="1:71" s="17" customFormat="1" x14ac:dyDescent="0.25">
      <c r="A4" s="15" t="s">
        <v>4</v>
      </c>
      <c r="B4" s="14" t="s">
        <v>22</v>
      </c>
      <c r="C4" s="14" t="s">
        <v>22</v>
      </c>
      <c r="D4" s="14" t="s">
        <v>22</v>
      </c>
      <c r="E4" s="14" t="s">
        <v>22</v>
      </c>
      <c r="F4" s="14" t="s">
        <v>22</v>
      </c>
      <c r="G4" s="14" t="s">
        <v>22</v>
      </c>
      <c r="H4" s="14" t="s">
        <v>22</v>
      </c>
      <c r="I4" s="14" t="s">
        <v>22</v>
      </c>
      <c r="J4" s="14" t="s">
        <v>22</v>
      </c>
      <c r="K4" s="11" t="s">
        <v>22</v>
      </c>
      <c r="L4" s="11" t="s">
        <v>22</v>
      </c>
      <c r="M4" s="11" t="s">
        <v>22</v>
      </c>
      <c r="N4" s="11"/>
      <c r="O4" s="11"/>
      <c r="P4" s="11"/>
      <c r="Q4" s="11"/>
      <c r="R4" s="11"/>
      <c r="S4" s="11"/>
      <c r="T4" s="11"/>
      <c r="U4" s="11" t="s">
        <v>22</v>
      </c>
      <c r="V4" s="11"/>
      <c r="W4" s="11"/>
      <c r="X4" s="11"/>
      <c r="Y4" s="11"/>
      <c r="Z4" s="11"/>
      <c r="AA4" s="11"/>
      <c r="AB4" s="11"/>
      <c r="AC4" s="11"/>
      <c r="AD4" s="11" t="s">
        <v>22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</row>
    <row r="5" spans="1:71" s="17" customFormat="1" ht="45" x14ac:dyDescent="0.25">
      <c r="A5" s="13" t="s">
        <v>5</v>
      </c>
      <c r="B5" s="14" t="str">
        <f>CONCATENATE("Please Enter"," ' ",B2," ' "," As it is Mandatory Field.")</f>
        <v>Please Enter ' Seller Taxpayer Identification Number '  As it is Mandatory Field.</v>
      </c>
      <c r="C5" s="14" t="str">
        <f t="shared" ref="C5:H5" si="0">CONCATENATE("Please Enter"," ' ",C2," ' "," As it is Mandatory Field.")</f>
        <v>Please Enter ' Name of Seller '  As it is Mandatory Field.</v>
      </c>
      <c r="D5" s="14" t="str">
        <f t="shared" si="0"/>
        <v>Please Enter ' Invoice No '  As it is Mandatory Field.</v>
      </c>
      <c r="E5" s="14" t="str">
        <f t="shared" si="0"/>
        <v>Please Enter ' Invoice Date '  As it is Mandatory Field.</v>
      </c>
      <c r="F5" s="14" t="str">
        <f t="shared" si="0"/>
        <v>Please Enter ' Commodity code '  As it is Mandatory Field.</v>
      </c>
      <c r="G5" s="14" t="str">
        <f t="shared" si="0"/>
        <v>Please Enter ' Purchase Value (Rs.) '  As it is Mandatory Field.</v>
      </c>
      <c r="H5" s="14" t="str">
        <f t="shared" si="0"/>
        <v>Please Enter ' Rate of Tax (%) '  As it is Mandatory Field.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</row>
    <row r="6" spans="1:71" s="17" customFormat="1" ht="22.5" x14ac:dyDescent="0.25">
      <c r="A6" s="12" t="s">
        <v>60</v>
      </c>
      <c r="B6" s="11" t="s">
        <v>53</v>
      </c>
      <c r="C6" s="11" t="s">
        <v>54</v>
      </c>
      <c r="D6" s="11" t="s">
        <v>55</v>
      </c>
      <c r="E6" s="11" t="s">
        <v>56</v>
      </c>
      <c r="F6" s="11" t="s">
        <v>57</v>
      </c>
      <c r="G6" s="11" t="s">
        <v>58</v>
      </c>
      <c r="H6" s="11" t="s">
        <v>39</v>
      </c>
      <c r="I6" s="11" t="s">
        <v>59</v>
      </c>
      <c r="J6" s="11" t="s">
        <v>38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</row>
    <row r="7" spans="1:71" x14ac:dyDescent="0.25">
      <c r="A7" s="13" t="s">
        <v>2</v>
      </c>
      <c r="B7" s="14">
        <v>1</v>
      </c>
      <c r="C7" s="14">
        <v>1</v>
      </c>
      <c r="D7" s="14">
        <v>1</v>
      </c>
      <c r="E7" s="14">
        <v>1</v>
      </c>
      <c r="F7" s="14">
        <v>1</v>
      </c>
      <c r="G7" s="14">
        <v>1</v>
      </c>
      <c r="H7" s="14">
        <v>1</v>
      </c>
      <c r="I7" s="14" t="s">
        <v>6</v>
      </c>
      <c r="J7" s="14" t="s">
        <v>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8"/>
      <c r="BM7" s="18"/>
      <c r="BN7" s="18"/>
      <c r="BO7" s="18"/>
      <c r="BP7" s="18"/>
      <c r="BQ7" s="18"/>
      <c r="BR7" s="18"/>
      <c r="BS7" s="18"/>
    </row>
    <row r="8" spans="1:71" x14ac:dyDescent="0.25">
      <c r="A8" s="13" t="s">
        <v>7</v>
      </c>
      <c r="B8" s="14" t="s">
        <v>22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 t="s">
        <v>22</v>
      </c>
      <c r="K8" s="11" t="s">
        <v>22</v>
      </c>
      <c r="L8" s="11" t="s">
        <v>22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8"/>
      <c r="BM8" s="18"/>
      <c r="BN8" s="18"/>
      <c r="BO8" s="18"/>
      <c r="BP8" s="18"/>
      <c r="BQ8" s="18"/>
      <c r="BR8" s="18"/>
      <c r="BS8" s="18"/>
    </row>
    <row r="9" spans="1:71" ht="56.25" x14ac:dyDescent="0.25">
      <c r="A9" s="13" t="s">
        <v>5</v>
      </c>
      <c r="B9" s="14" t="str">
        <f>CONCATENATE("Please Enter "," ' ",B2," ' "," in Proper format.")</f>
        <v>Please Enter  ' Seller Taxpayer Identification Number '  in Proper format.</v>
      </c>
      <c r="C9" s="14" t="str">
        <f>CONCATENATE("Please Enter "," ' ",C2," ' "," in Proper format.")</f>
        <v>Please Enter  ' Name of Seller '  in Proper format.</v>
      </c>
      <c r="D9" s="14" t="str">
        <f>CONCATENATE("Please Enter "," ' ",D2," ' "," in Proper format.")</f>
        <v>Please Enter  ' Invoice No '  in Proper format.</v>
      </c>
      <c r="E9" s="14" t="str">
        <f>CONCATENATE("Please Enter "," ' ",E2," ' "," in Proper format and it should fall in or after april month of financial year relevant to tax period.")</f>
        <v>Please Enter  ' Invoice Date '  in Proper format and it should fall in or after april month of financial year relevant to tax period.</v>
      </c>
      <c r="F9" s="14" t="str">
        <f>CONCATENATE("Please Enter "," ' ",F2," ' "," in Proper format.")</f>
        <v>Please Enter  ' Commodity code '  in Proper format.</v>
      </c>
      <c r="G9" s="14" t="str">
        <f>CONCATENATE("Please Enter "," ' ",G2," ' "," in Proper format.")</f>
        <v>Please Enter  ' Purchase Value (Rs.) '  in Proper format.</v>
      </c>
      <c r="H9" s="14" t="str">
        <f>CONCATENATE("Please Select "," ' ",H2," ' "," from dropdown list only.")</f>
        <v>Please Select  ' Rate of Tax (%) '  from dropdown list only.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8"/>
      <c r="BM9" s="18"/>
      <c r="BN9" s="18"/>
      <c r="BO9" s="18"/>
      <c r="BP9" s="18"/>
      <c r="BQ9" s="18"/>
      <c r="BR9" s="18"/>
      <c r="BS9" s="18"/>
    </row>
    <row r="10" spans="1:7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8"/>
      <c r="BM10" s="18"/>
      <c r="BN10" s="18"/>
      <c r="BO10" s="18"/>
      <c r="BP10" s="18"/>
      <c r="BQ10" s="18"/>
      <c r="BR10" s="18"/>
      <c r="BS10" s="18"/>
    </row>
    <row r="11" spans="1:7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8"/>
      <c r="BM11" s="18"/>
      <c r="BN11" s="18"/>
      <c r="BO11" s="18"/>
      <c r="BP11" s="18"/>
      <c r="BQ11" s="18"/>
      <c r="BR11" s="18"/>
      <c r="BS11" s="18"/>
    </row>
    <row r="12" spans="1:7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8"/>
      <c r="BM12" s="18"/>
      <c r="BN12" s="18"/>
      <c r="BO12" s="18"/>
      <c r="BP12" s="18"/>
      <c r="BQ12" s="18"/>
      <c r="BR12" s="18"/>
      <c r="BS12" s="18"/>
    </row>
    <row r="13" spans="1:7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</row>
    <row r="14" spans="1:7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</row>
    <row r="15" spans="1:7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</row>
    <row r="16" spans="1:7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</row>
    <row r="17" spans="1:7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</row>
    <row r="18" spans="1:7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</row>
    <row r="19" spans="1:7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</row>
    <row r="20" spans="1:7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</row>
    <row r="21" spans="1:7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</row>
    <row r="22" spans="1:7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</row>
    <row r="23" spans="1:7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</row>
    <row r="24" spans="1:7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</row>
    <row r="25" spans="1:7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</row>
    <row r="26" spans="1:7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</row>
    <row r="27" spans="1:7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</row>
    <row r="28" spans="1:7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</row>
    <row r="29" spans="1:7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</row>
    <row r="30" spans="1:7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</row>
    <row r="31" spans="1:7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</row>
    <row r="32" spans="1:7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</row>
    <row r="33" spans="1:7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</row>
    <row r="34" spans="1:7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</row>
    <row r="35" spans="1:7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</row>
    <row r="36" spans="1:7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</row>
    <row r="37" spans="1:7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</row>
    <row r="38" spans="1:7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9"/>
      <c r="AS38" s="19"/>
      <c r="AT38" s="19"/>
      <c r="AU38" s="19"/>
      <c r="AV38" s="19"/>
    </row>
    <row r="39" spans="1:7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9"/>
      <c r="AN39" s="19"/>
      <c r="AO39" s="19"/>
      <c r="AP39" s="11"/>
      <c r="AQ39" s="11"/>
      <c r="AR39" s="11"/>
      <c r="AS39" s="11"/>
      <c r="AT39" s="11"/>
      <c r="AU39" s="11"/>
      <c r="AV39" s="19"/>
    </row>
    <row r="40" spans="1:7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1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9"/>
      <c r="AN40" s="19"/>
      <c r="AO40" s="19"/>
      <c r="AP40" s="18"/>
      <c r="AQ40" s="18"/>
      <c r="AR40" s="18"/>
      <c r="AS40" s="18"/>
      <c r="AT40" s="18"/>
      <c r="AU40" s="18"/>
      <c r="AV40" s="19"/>
    </row>
    <row r="41" spans="1:7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9"/>
      <c r="AN41" s="19"/>
      <c r="AO41" s="19"/>
      <c r="AP41" s="18"/>
      <c r="AQ41" s="18"/>
      <c r="AR41" s="18"/>
      <c r="AS41" s="18"/>
      <c r="AT41" s="18"/>
      <c r="AU41" s="18"/>
      <c r="AV41" s="19"/>
    </row>
    <row r="42" spans="1:71" x14ac:dyDescent="0.25">
      <c r="A42" s="1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9"/>
      <c r="AN42" s="19"/>
      <c r="AO42" s="19"/>
      <c r="AP42" s="18"/>
      <c r="AQ42" s="18"/>
      <c r="AR42" s="18"/>
      <c r="AS42" s="18"/>
      <c r="AT42" s="18"/>
      <c r="AU42" s="18"/>
      <c r="AV42" s="19"/>
    </row>
    <row r="43" spans="1:71" x14ac:dyDescent="0.25">
      <c r="A43" s="18"/>
      <c r="B43" s="18"/>
      <c r="C43" s="18"/>
      <c r="D43" s="18"/>
      <c r="E43" s="18"/>
      <c r="F43" s="18"/>
      <c r="G43" s="18"/>
      <c r="H43" s="11"/>
      <c r="I43" s="18"/>
      <c r="J43" s="18"/>
      <c r="K43" s="18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</row>
    <row r="44" spans="1:7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</row>
    <row r="45" spans="1:7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</row>
    <row r="46" spans="1:71" x14ac:dyDescent="0.25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</row>
    <row r="47" spans="1:7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</row>
    <row r="48" spans="1:71" x14ac:dyDescent="0.25">
      <c r="A48" s="1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</row>
    <row r="49" spans="1:48" x14ac:dyDescent="0.25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</row>
    <row r="50" spans="1:48" x14ac:dyDescent="0.25">
      <c r="A50" s="18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</row>
    <row r="51" spans="1:48" x14ac:dyDescent="0.2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</row>
    <row r="52" spans="1:48" x14ac:dyDescent="0.25">
      <c r="A52" s="1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</row>
    <row r="53" spans="1:48" x14ac:dyDescent="0.25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</row>
    <row r="54" spans="1:48" x14ac:dyDescent="0.25">
      <c r="A54" s="18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48" x14ac:dyDescent="0.25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48" x14ac:dyDescent="0.25">
      <c r="A56" s="18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48" x14ac:dyDescent="0.25">
      <c r="A57" s="20"/>
    </row>
    <row r="58" spans="1:48" x14ac:dyDescent="0.25">
      <c r="A58" s="21"/>
    </row>
    <row r="59" spans="1:48" x14ac:dyDescent="0.25">
      <c r="A59" s="21"/>
    </row>
    <row r="60" spans="1:48" x14ac:dyDescent="0.25">
      <c r="A60" s="21"/>
    </row>
    <row r="61" spans="1:48" x14ac:dyDescent="0.25">
      <c r="A61" s="21"/>
    </row>
    <row r="62" spans="1:48" x14ac:dyDescent="0.25">
      <c r="A62" s="21"/>
    </row>
  </sheetData>
  <sheetProtection password="8C17" sheet="1" objects="1" scenarios="1" selectLockedCells="1" selectUnlockedCell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8"/>
  <sheetViews>
    <sheetView topLeftCell="XFD1" workbookViewId="0">
      <selection activeCell="IV1" sqref="A1:IV65536"/>
    </sheetView>
  </sheetViews>
  <sheetFormatPr defaultColWidth="0" defaultRowHeight="15" x14ac:dyDescent="0.25"/>
  <cols>
    <col min="1" max="16384" width="0" style="33" hidden="1"/>
  </cols>
  <sheetData>
    <row r="1" spans="1:3" x14ac:dyDescent="0.25">
      <c r="A1" s="24">
        <v>1</v>
      </c>
      <c r="B1" s="24">
        <v>1</v>
      </c>
      <c r="C1" s="32">
        <v>1</v>
      </c>
    </row>
    <row r="2" spans="1:3" x14ac:dyDescent="0.25">
      <c r="A2" s="24">
        <v>2</v>
      </c>
      <c r="B2" s="24">
        <v>2</v>
      </c>
      <c r="C2" s="32">
        <v>2</v>
      </c>
    </row>
    <row r="3" spans="1:3" x14ac:dyDescent="0.25">
      <c r="A3" s="24">
        <v>5</v>
      </c>
      <c r="B3" s="24">
        <v>5</v>
      </c>
      <c r="C3" s="32">
        <v>5</v>
      </c>
    </row>
    <row r="4" spans="1:3" x14ac:dyDescent="0.25">
      <c r="A4" s="24">
        <v>14.5</v>
      </c>
      <c r="B4" s="24">
        <v>14.5</v>
      </c>
      <c r="C4" s="32">
        <v>14.5</v>
      </c>
    </row>
    <row r="5" spans="1:3" x14ac:dyDescent="0.25">
      <c r="A5" s="32" t="s">
        <v>61</v>
      </c>
      <c r="B5" s="24">
        <v>1</v>
      </c>
      <c r="C5" s="32" t="s">
        <v>65</v>
      </c>
    </row>
    <row r="6" spans="1:3" x14ac:dyDescent="0.25">
      <c r="A6" s="32" t="s">
        <v>64</v>
      </c>
      <c r="B6" s="24">
        <v>14.5</v>
      </c>
      <c r="C6" s="32" t="s">
        <v>68</v>
      </c>
    </row>
    <row r="7" spans="1:3" x14ac:dyDescent="0.25">
      <c r="A7" s="32" t="s">
        <v>62</v>
      </c>
      <c r="B7" s="24">
        <v>2</v>
      </c>
      <c r="C7" s="32" t="s">
        <v>66</v>
      </c>
    </row>
    <row r="8" spans="1:3" x14ac:dyDescent="0.25">
      <c r="A8" s="32" t="s">
        <v>63</v>
      </c>
      <c r="B8" s="33">
        <v>5</v>
      </c>
      <c r="C8" s="34" t="s">
        <v>67</v>
      </c>
    </row>
  </sheetData>
  <sheetProtection password="8C17" sheet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5"/>
  <sheetViews>
    <sheetView workbookViewId="0">
      <selection activeCell="B5" sqref="B5"/>
    </sheetView>
  </sheetViews>
  <sheetFormatPr defaultRowHeight="15" x14ac:dyDescent="0.25"/>
  <cols>
    <col min="1" max="1" width="24.140625" style="1" bestFit="1" customWidth="1"/>
    <col min="2" max="2" width="27.28515625" style="1" customWidth="1"/>
    <col min="3" max="3" width="12.42578125" style="1" customWidth="1"/>
    <col min="4" max="4" width="17" style="1" customWidth="1"/>
    <col min="5" max="5" width="55.42578125" style="1" bestFit="1" customWidth="1"/>
    <col min="6" max="6" width="15.7109375" style="1" bestFit="1" customWidth="1"/>
    <col min="7" max="7" width="79.140625" style="1" bestFit="1" customWidth="1"/>
    <col min="8" max="8" width="19.42578125" style="1" customWidth="1"/>
    <col min="9" max="9" width="102.28515625" style="1" bestFit="1" customWidth="1"/>
    <col min="10" max="10" width="15.7109375" style="1" bestFit="1" customWidth="1"/>
    <col min="11" max="11" width="79.85546875" style="1" bestFit="1" customWidth="1"/>
    <col min="12" max="16384" width="9.140625" style="1"/>
  </cols>
  <sheetData>
    <row r="1" spans="1:21" ht="22.5" customHeight="1" x14ac:dyDescent="0.25">
      <c r="A1" s="28" t="s">
        <v>24</v>
      </c>
      <c r="B1" s="29" t="s">
        <v>25</v>
      </c>
      <c r="C1" s="29" t="s">
        <v>2</v>
      </c>
      <c r="D1" s="29" t="s">
        <v>4</v>
      </c>
      <c r="E1" s="29" t="s">
        <v>5</v>
      </c>
      <c r="F1" s="29" t="s">
        <v>26</v>
      </c>
      <c r="G1" s="29" t="s">
        <v>5</v>
      </c>
      <c r="H1" s="29" t="s">
        <v>27</v>
      </c>
      <c r="I1" s="29" t="s">
        <v>5</v>
      </c>
      <c r="J1" s="29" t="s">
        <v>36</v>
      </c>
      <c r="K1" s="29" t="s">
        <v>5</v>
      </c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 x14ac:dyDescent="0.25">
      <c r="A2" s="19" t="s">
        <v>23</v>
      </c>
      <c r="B2" s="30" t="s">
        <v>32</v>
      </c>
      <c r="C2" s="19" t="s">
        <v>3</v>
      </c>
      <c r="D2" s="19" t="e">
        <f ca="1">TestMandatory(tin,C2)</f>
        <v>#NAME?</v>
      </c>
      <c r="E2" s="19" t="str">
        <f>CONCATENATE("Please Enter"," ' ",B2," ' "," As it is Mandatory Field.")</f>
        <v>Please Enter ' Dealer TIN * '  As it is Mandatory Field.</v>
      </c>
      <c r="F2" s="19" t="e">
        <f ca="1">TestTNTINRegex(tin)</f>
        <v>#NAME?</v>
      </c>
      <c r="G2" s="14" t="str">
        <f>CONCATENATE("Please Enter "," ' ",B2," ' "," in Proper format.")</f>
        <v>Please Enter  ' Dealer TIN * '  in Proper format.</v>
      </c>
      <c r="H2" s="19" t="s">
        <v>22</v>
      </c>
      <c r="I2" s="19" t="s">
        <v>22</v>
      </c>
      <c r="J2" s="19" t="s">
        <v>22</v>
      </c>
      <c r="K2" s="19" t="s">
        <v>22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 customHeight="1" x14ac:dyDescent="0.25">
      <c r="A3" s="19" t="s">
        <v>23</v>
      </c>
      <c r="B3" s="30" t="s">
        <v>33</v>
      </c>
      <c r="C3" s="19" t="s">
        <v>3</v>
      </c>
      <c r="D3" s="19" t="e">
        <f ca="1">TestMandatory(periodFrom,C3)</f>
        <v>#NAME?</v>
      </c>
      <c r="E3" s="19" t="str">
        <f>CONCATENATE("Please Enter"," ' ",B3," ' "," As it is Mandatory Field.")</f>
        <v>Please Enter ' Tax Period From * '  As it is Mandatory Field.</v>
      </c>
      <c r="F3" s="19" t="e">
        <f ca="1">TestDateRegEx(periodFrom)</f>
        <v>#NAME?</v>
      </c>
      <c r="G3" s="14" t="str">
        <f>CONCATENATE("Please Enter "," ' ",B3," ' "," in Proper format and it should not be future date.")</f>
        <v>Please Enter  ' Tax Period From * '  in Proper format and it should not be future date.</v>
      </c>
      <c r="H3" s="19" t="s">
        <v>22</v>
      </c>
      <c r="I3" s="19" t="s">
        <v>22</v>
      </c>
      <c r="J3" s="19" t="s">
        <v>22</v>
      </c>
      <c r="K3" s="19" t="s">
        <v>22</v>
      </c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 customHeight="1" x14ac:dyDescent="0.25">
      <c r="A4" s="19" t="s">
        <v>23</v>
      </c>
      <c r="B4" s="30" t="s">
        <v>34</v>
      </c>
      <c r="C4" s="19" t="s">
        <v>3</v>
      </c>
      <c r="D4" s="19" t="e">
        <f ca="1">TestMandatory(periodTo,C4)</f>
        <v>#NAME?</v>
      </c>
      <c r="E4" s="19" t="str">
        <f>CONCATENATE("Please Enter"," ' ",B4," ' "," As it is Mandatory Field.")</f>
        <v>Please Enter ' Tax Period To * '  As it is Mandatory Field.</v>
      </c>
      <c r="F4" s="19" t="e">
        <f ca="1">TestDateRegEx(periodTo)</f>
        <v>#NAME?</v>
      </c>
      <c r="G4" s="14" t="str">
        <f>CONCATENATE("Please Enter "," ' ",B4," ' "," in Proper format and it should not be future date.")</f>
        <v>Please Enter  ' Tax Period To * '  in Proper format and it should not be future date.</v>
      </c>
      <c r="H4" s="19" t="e">
        <f ca="1">TestCompareFromToDate(periodFrom,periodTo)</f>
        <v>#NAME?</v>
      </c>
      <c r="I4" s="31" t="s">
        <v>35</v>
      </c>
      <c r="J4" s="19" t="s">
        <v>22</v>
      </c>
      <c r="K4" s="19" t="s">
        <v>22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33.75" x14ac:dyDescent="0.25">
      <c r="A5" s="19" t="s">
        <v>60</v>
      </c>
      <c r="B5" s="30" t="s">
        <v>96</v>
      </c>
      <c r="C5" s="19" t="s">
        <v>3</v>
      </c>
      <c r="D5" s="19" t="e">
        <f>IF(COUNTIF([0]!chkBlnkAnnx,"&lt;&gt;7")&gt;=1,"NE",3)</f>
        <v>#REF!</v>
      </c>
      <c r="E5" s="19" t="s">
        <v>97</v>
      </c>
      <c r="F5" s="19"/>
      <c r="G5" s="14"/>
      <c r="H5" s="19"/>
      <c r="I5" s="31"/>
      <c r="J5" s="19"/>
      <c r="K5" s="19"/>
    </row>
  </sheetData>
  <sheetProtection password="8C17" sheet="1" selectLockedCells="1" selectUnlockedCell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</sheetPr>
  <dimension ref="A1:E15"/>
  <sheetViews>
    <sheetView workbookViewId="0">
      <selection activeCell="C5" sqref="C5"/>
    </sheetView>
  </sheetViews>
  <sheetFormatPr defaultRowHeight="15" x14ac:dyDescent="0.25"/>
  <cols>
    <col min="1" max="1" width="6.85546875" style="5" bestFit="1" customWidth="1"/>
    <col min="2" max="2" width="23" style="6" customWidth="1"/>
    <col min="3" max="3" width="37.85546875" style="6" customWidth="1"/>
    <col min="4" max="4" width="60" style="6" customWidth="1"/>
    <col min="5" max="5" width="58.85546875" style="6" customWidth="1"/>
    <col min="6" max="16384" width="9.140625" style="8"/>
  </cols>
  <sheetData>
    <row r="1" spans="1:5" s="7" customFormat="1" ht="22.5" customHeight="1" x14ac:dyDescent="0.25">
      <c r="A1" s="3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 x14ac:dyDescent="0.25">
      <c r="C2" s="9"/>
    </row>
    <row r="3" spans="1:5" x14ac:dyDescent="0.25">
      <c r="C3" s="9"/>
    </row>
    <row r="4" spans="1:5" x14ac:dyDescent="0.25">
      <c r="C4" s="9"/>
    </row>
    <row r="5" spans="1:5" x14ac:dyDescent="0.25">
      <c r="C5" s="9"/>
    </row>
    <row r="6" spans="1:5" x14ac:dyDescent="0.25">
      <c r="C6" s="9"/>
    </row>
    <row r="7" spans="1:5" x14ac:dyDescent="0.25">
      <c r="C7" s="9"/>
    </row>
    <row r="8" spans="1:5" x14ac:dyDescent="0.25">
      <c r="C8" s="9"/>
    </row>
    <row r="9" spans="1:5" x14ac:dyDescent="0.25">
      <c r="C9" s="9"/>
    </row>
    <row r="10" spans="1:5" x14ac:dyDescent="0.25">
      <c r="C10" s="9"/>
    </row>
    <row r="11" spans="1:5" x14ac:dyDescent="0.25">
      <c r="C11" s="9"/>
    </row>
    <row r="12" spans="1:5" x14ac:dyDescent="0.25">
      <c r="C12" s="9"/>
    </row>
    <row r="13" spans="1:5" x14ac:dyDescent="0.25">
      <c r="C13" s="9"/>
    </row>
    <row r="14" spans="1:5" x14ac:dyDescent="0.25">
      <c r="C14" s="9"/>
    </row>
    <row r="15" spans="1:5" x14ac:dyDescent="0.25">
      <c r="C15" s="9"/>
    </row>
  </sheetData>
  <sheetProtection password="8C17"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1"/>
  <sheetViews>
    <sheetView workbookViewId="0">
      <selection activeCell="G17" sqref="G17"/>
    </sheetView>
  </sheetViews>
  <sheetFormatPr defaultRowHeight="15" x14ac:dyDescent="0.25"/>
  <cols>
    <col min="1" max="1" width="16.85546875" bestFit="1" customWidth="1"/>
    <col min="2" max="2" width="23.85546875" bestFit="1" customWidth="1"/>
  </cols>
  <sheetData>
    <row r="1" spans="1:2" ht="30" x14ac:dyDescent="0.25">
      <c r="A1" s="23" t="s">
        <v>87</v>
      </c>
      <c r="B1" s="24"/>
    </row>
    <row r="2" spans="1:2" x14ac:dyDescent="0.25">
      <c r="A2" s="22" t="s">
        <v>88</v>
      </c>
      <c r="B2" s="24"/>
    </row>
    <row r="3" spans="1:2" x14ac:dyDescent="0.25">
      <c r="A3" s="22" t="s">
        <v>89</v>
      </c>
      <c r="B3" s="24"/>
    </row>
    <row r="4" spans="1:2" x14ac:dyDescent="0.25">
      <c r="A4" s="22" t="s">
        <v>90</v>
      </c>
      <c r="B4" s="24"/>
    </row>
    <row r="5" spans="1:2" x14ac:dyDescent="0.25">
      <c r="A5" s="22" t="s">
        <v>91</v>
      </c>
      <c r="B5" s="24"/>
    </row>
    <row r="6" spans="1:2" x14ac:dyDescent="0.25">
      <c r="A6" s="22" t="s">
        <v>50</v>
      </c>
      <c r="B6" s="24"/>
    </row>
    <row r="7" spans="1:2" x14ac:dyDescent="0.25">
      <c r="A7" s="22" t="s">
        <v>92</v>
      </c>
      <c r="B7" s="24"/>
    </row>
    <row r="8" spans="1:2" x14ac:dyDescent="0.25">
      <c r="A8" s="22" t="s">
        <v>37</v>
      </c>
      <c r="B8" s="24"/>
    </row>
    <row r="9" spans="1:2" x14ac:dyDescent="0.25">
      <c r="A9" s="22" t="s">
        <v>93</v>
      </c>
      <c r="B9" s="24"/>
    </row>
    <row r="10" spans="1:2" x14ac:dyDescent="0.25">
      <c r="A10" s="22" t="s">
        <v>51</v>
      </c>
      <c r="B10" s="24"/>
    </row>
    <row r="11" spans="1:2" x14ac:dyDescent="0.25">
      <c r="A11" s="22" t="s">
        <v>52</v>
      </c>
      <c r="B11" s="24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>
      <selection activeCell="AP15" sqref="A1:IV65536"/>
    </sheetView>
  </sheetViews>
  <sheetFormatPr defaultRowHeight="15" x14ac:dyDescent="0.25"/>
  <sheetData/>
  <sheetProtection password="D45D" sheet="1"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"/>
  <sheetViews>
    <sheetView workbookViewId="0">
      <selection activeCell="A39" sqref="A39:B39"/>
    </sheetView>
  </sheetViews>
  <sheetFormatPr defaultRowHeight="15" x14ac:dyDescent="0.25"/>
  <cols>
    <col min="1" max="1" width="17.7109375" style="39" customWidth="1"/>
    <col min="2" max="2" width="36.5703125" style="43" customWidth="1"/>
    <col min="3" max="3" width="9.85546875" style="43" customWidth="1"/>
    <col min="4" max="4" width="10.7109375" style="39" customWidth="1"/>
    <col min="5" max="5" width="11.28515625" style="38" bestFit="1" customWidth="1"/>
    <col min="6" max="6" width="7.140625" style="43" customWidth="1"/>
    <col min="7" max="9" width="11.28515625" style="43" bestFit="1" customWidth="1"/>
    <col min="10" max="10" width="12" style="43" customWidth="1"/>
    <col min="11" max="11" width="11.28515625" style="43" bestFit="1" customWidth="1"/>
    <col min="12" max="16384" width="9.140625" style="43"/>
  </cols>
  <sheetData>
    <row r="1" spans="1:10" s="35" customFormat="1" x14ac:dyDescent="0.25">
      <c r="A1" s="47" t="s">
        <v>107</v>
      </c>
      <c r="B1" s="54" t="s">
        <v>102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109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48"/>
      <c r="B3" s="44"/>
      <c r="C3" s="44"/>
      <c r="D3" s="44"/>
      <c r="E3" s="45"/>
      <c r="F3" s="42"/>
      <c r="G3" s="56"/>
      <c r="H3" s="56"/>
      <c r="I3" s="56"/>
      <c r="J3" s="57"/>
    </row>
    <row r="4" spans="1:10" x14ac:dyDescent="0.25">
      <c r="A4" s="59" t="s">
        <v>116</v>
      </c>
      <c r="B4" s="46" t="s">
        <v>117</v>
      </c>
      <c r="C4" s="44" t="s">
        <v>118</v>
      </c>
      <c r="D4" s="44" t="s">
        <v>119</v>
      </c>
      <c r="E4" s="45">
        <v>852</v>
      </c>
      <c r="F4" s="42">
        <v>18</v>
      </c>
      <c r="G4" s="56">
        <f t="shared" ref="G4:G28" si="0">ROUND((E4*F4%)/2,)</f>
        <v>77</v>
      </c>
      <c r="H4" s="56">
        <f t="shared" ref="H4:H66" si="1">G4</f>
        <v>77</v>
      </c>
      <c r="I4" s="56">
        <f t="shared" ref="I4:I28" si="2">G4+H4</f>
        <v>154</v>
      </c>
      <c r="J4" s="57">
        <f t="shared" ref="J4:J28" si="3">E4+I4</f>
        <v>1006</v>
      </c>
    </row>
    <row r="5" spans="1:10" x14ac:dyDescent="0.25">
      <c r="A5" s="48" t="s">
        <v>120</v>
      </c>
      <c r="B5" s="44" t="s">
        <v>121</v>
      </c>
      <c r="C5" s="44" t="s">
        <v>122</v>
      </c>
      <c r="D5" s="44" t="s">
        <v>119</v>
      </c>
      <c r="E5" s="45">
        <v>820</v>
      </c>
      <c r="F5" s="42">
        <v>18</v>
      </c>
      <c r="G5" s="56">
        <f t="shared" si="0"/>
        <v>74</v>
      </c>
      <c r="H5" s="56">
        <f t="shared" si="1"/>
        <v>74</v>
      </c>
      <c r="I5" s="56">
        <f t="shared" si="2"/>
        <v>148</v>
      </c>
      <c r="J5" s="57">
        <f t="shared" si="3"/>
        <v>968</v>
      </c>
    </row>
    <row r="6" spans="1:10" x14ac:dyDescent="0.25">
      <c r="A6" s="48"/>
      <c r="B6" s="44"/>
      <c r="C6" s="44"/>
      <c r="D6" s="44"/>
      <c r="E6" s="45"/>
      <c r="F6" s="42">
        <v>28</v>
      </c>
      <c r="G6" s="56">
        <f t="shared" si="0"/>
        <v>0</v>
      </c>
      <c r="H6" s="56">
        <f t="shared" si="1"/>
        <v>0</v>
      </c>
      <c r="I6" s="56">
        <f t="shared" si="2"/>
        <v>0</v>
      </c>
      <c r="J6" s="57">
        <f t="shared" si="3"/>
        <v>0</v>
      </c>
    </row>
    <row r="7" spans="1:10" x14ac:dyDescent="0.25">
      <c r="A7" s="48"/>
      <c r="B7" s="58" t="s">
        <v>114</v>
      </c>
      <c r="C7" s="44"/>
      <c r="D7" s="44"/>
      <c r="E7" s="45"/>
      <c r="F7" s="42">
        <v>28</v>
      </c>
      <c r="G7" s="56">
        <f t="shared" si="0"/>
        <v>0</v>
      </c>
      <c r="H7" s="56">
        <f t="shared" si="1"/>
        <v>0</v>
      </c>
      <c r="I7" s="56">
        <f t="shared" si="2"/>
        <v>0</v>
      </c>
      <c r="J7" s="57">
        <f t="shared" si="3"/>
        <v>0</v>
      </c>
    </row>
    <row r="8" spans="1:10" x14ac:dyDescent="0.25">
      <c r="A8" s="48"/>
      <c r="B8" s="44"/>
      <c r="C8" s="44"/>
      <c r="D8" s="44"/>
      <c r="E8" s="45"/>
      <c r="F8" s="42">
        <v>18</v>
      </c>
      <c r="G8" s="56">
        <f t="shared" si="0"/>
        <v>0</v>
      </c>
      <c r="H8" s="56">
        <f t="shared" si="1"/>
        <v>0</v>
      </c>
      <c r="I8" s="56">
        <f t="shared" si="2"/>
        <v>0</v>
      </c>
      <c r="J8" s="57">
        <f t="shared" si="3"/>
        <v>0</v>
      </c>
    </row>
    <row r="9" spans="1:10" x14ac:dyDescent="0.25">
      <c r="A9" s="59" t="s">
        <v>123</v>
      </c>
      <c r="B9" s="46" t="s">
        <v>124</v>
      </c>
      <c r="C9" s="44" t="s">
        <v>125</v>
      </c>
      <c r="D9" s="44" t="s">
        <v>113</v>
      </c>
      <c r="E9" s="45">
        <v>2750</v>
      </c>
      <c r="F9" s="42">
        <v>18</v>
      </c>
      <c r="G9" s="56">
        <f t="shared" si="0"/>
        <v>248</v>
      </c>
      <c r="H9" s="56">
        <f t="shared" si="1"/>
        <v>248</v>
      </c>
      <c r="I9" s="56">
        <f t="shared" si="2"/>
        <v>496</v>
      </c>
      <c r="J9" s="57">
        <f t="shared" si="3"/>
        <v>3246</v>
      </c>
    </row>
    <row r="10" spans="1:10" x14ac:dyDescent="0.25">
      <c r="A10" s="59" t="s">
        <v>123</v>
      </c>
      <c r="B10" s="46" t="s">
        <v>124</v>
      </c>
      <c r="C10" s="44" t="s">
        <v>126</v>
      </c>
      <c r="D10" s="44" t="s">
        <v>113</v>
      </c>
      <c r="E10" s="45">
        <v>1056</v>
      </c>
      <c r="F10" s="42">
        <v>18</v>
      </c>
      <c r="G10" s="56">
        <v>95</v>
      </c>
      <c r="H10" s="56">
        <v>95</v>
      </c>
      <c r="I10" s="56">
        <v>190</v>
      </c>
      <c r="J10" s="57">
        <v>1246</v>
      </c>
    </row>
    <row r="11" spans="1:10" x14ac:dyDescent="0.25">
      <c r="A11" s="59" t="s">
        <v>127</v>
      </c>
      <c r="B11" s="46" t="s">
        <v>128</v>
      </c>
      <c r="C11" s="44" t="s">
        <v>129</v>
      </c>
      <c r="D11" s="44" t="s">
        <v>113</v>
      </c>
      <c r="E11" s="45">
        <v>3000</v>
      </c>
      <c r="F11" s="42">
        <v>18</v>
      </c>
      <c r="G11" s="56">
        <f t="shared" si="0"/>
        <v>270</v>
      </c>
      <c r="H11" s="56">
        <f t="shared" si="1"/>
        <v>270</v>
      </c>
      <c r="I11" s="56">
        <f t="shared" si="2"/>
        <v>540</v>
      </c>
      <c r="J11" s="57">
        <f t="shared" si="3"/>
        <v>3540</v>
      </c>
    </row>
    <row r="12" spans="1:10" x14ac:dyDescent="0.25">
      <c r="A12" s="59" t="s">
        <v>127</v>
      </c>
      <c r="B12" s="46" t="s">
        <v>128</v>
      </c>
      <c r="C12" s="44" t="s">
        <v>130</v>
      </c>
      <c r="D12" s="44" t="s">
        <v>113</v>
      </c>
      <c r="E12" s="45">
        <v>2775</v>
      </c>
      <c r="F12" s="42">
        <v>18</v>
      </c>
      <c r="G12" s="56">
        <f t="shared" si="0"/>
        <v>250</v>
      </c>
      <c r="H12" s="56">
        <f t="shared" si="1"/>
        <v>250</v>
      </c>
      <c r="I12" s="56">
        <f t="shared" si="2"/>
        <v>500</v>
      </c>
      <c r="J12" s="57">
        <f t="shared" si="3"/>
        <v>3275</v>
      </c>
    </row>
    <row r="13" spans="1:10" x14ac:dyDescent="0.25">
      <c r="A13" s="59" t="s">
        <v>123</v>
      </c>
      <c r="B13" s="46" t="s">
        <v>124</v>
      </c>
      <c r="C13" s="44" t="s">
        <v>131</v>
      </c>
      <c r="D13" s="44" t="s">
        <v>132</v>
      </c>
      <c r="E13" s="45">
        <v>1700</v>
      </c>
      <c r="F13" s="42">
        <v>18</v>
      </c>
      <c r="G13" s="56">
        <f t="shared" si="0"/>
        <v>153</v>
      </c>
      <c r="H13" s="56">
        <f t="shared" si="1"/>
        <v>153</v>
      </c>
      <c r="I13" s="56">
        <f t="shared" si="2"/>
        <v>306</v>
      </c>
      <c r="J13" s="57">
        <f t="shared" si="3"/>
        <v>2006</v>
      </c>
    </row>
    <row r="14" spans="1:10" x14ac:dyDescent="0.25">
      <c r="A14" s="59" t="s">
        <v>123</v>
      </c>
      <c r="B14" s="46" t="s">
        <v>124</v>
      </c>
      <c r="C14" s="44" t="s">
        <v>133</v>
      </c>
      <c r="D14" s="44" t="s">
        <v>134</v>
      </c>
      <c r="E14" s="45">
        <v>780</v>
      </c>
      <c r="F14" s="42">
        <v>18</v>
      </c>
      <c r="G14" s="56">
        <f t="shared" si="0"/>
        <v>70</v>
      </c>
      <c r="H14" s="56">
        <f t="shared" si="1"/>
        <v>70</v>
      </c>
      <c r="I14" s="56">
        <f t="shared" si="2"/>
        <v>140</v>
      </c>
      <c r="J14" s="57">
        <f t="shared" si="3"/>
        <v>920</v>
      </c>
    </row>
    <row r="15" spans="1:10" x14ac:dyDescent="0.25">
      <c r="A15" s="59" t="s">
        <v>135</v>
      </c>
      <c r="B15" s="46" t="s">
        <v>136</v>
      </c>
      <c r="C15" s="44" t="s">
        <v>137</v>
      </c>
      <c r="D15" s="44" t="s">
        <v>138</v>
      </c>
      <c r="E15" s="45">
        <v>4524</v>
      </c>
      <c r="F15" s="42">
        <v>18</v>
      </c>
      <c r="G15" s="56">
        <f t="shared" si="0"/>
        <v>407</v>
      </c>
      <c r="H15" s="56">
        <f t="shared" si="1"/>
        <v>407</v>
      </c>
      <c r="I15" s="56">
        <f t="shared" si="2"/>
        <v>814</v>
      </c>
      <c r="J15" s="57">
        <f t="shared" si="3"/>
        <v>5338</v>
      </c>
    </row>
    <row r="16" spans="1:10" x14ac:dyDescent="0.25">
      <c r="A16" s="59" t="s">
        <v>123</v>
      </c>
      <c r="B16" s="46" t="s">
        <v>124</v>
      </c>
      <c r="C16" s="44" t="s">
        <v>139</v>
      </c>
      <c r="D16" s="44" t="s">
        <v>115</v>
      </c>
      <c r="E16" s="45">
        <v>980</v>
      </c>
      <c r="F16" s="42">
        <v>18</v>
      </c>
      <c r="G16" s="56">
        <f t="shared" si="0"/>
        <v>88</v>
      </c>
      <c r="H16" s="56">
        <f t="shared" si="1"/>
        <v>88</v>
      </c>
      <c r="I16" s="56">
        <f t="shared" si="2"/>
        <v>176</v>
      </c>
      <c r="J16" s="57">
        <f t="shared" si="3"/>
        <v>1156</v>
      </c>
    </row>
    <row r="17" spans="1:10" x14ac:dyDescent="0.25">
      <c r="A17" s="59" t="s">
        <v>123</v>
      </c>
      <c r="B17" s="46" t="s">
        <v>124</v>
      </c>
      <c r="C17" s="44" t="s">
        <v>140</v>
      </c>
      <c r="D17" s="44" t="s">
        <v>141</v>
      </c>
      <c r="E17" s="45">
        <v>700</v>
      </c>
      <c r="F17" s="42">
        <v>18</v>
      </c>
      <c r="G17" s="56">
        <f t="shared" si="0"/>
        <v>63</v>
      </c>
      <c r="H17" s="56">
        <f t="shared" si="1"/>
        <v>63</v>
      </c>
      <c r="I17" s="56">
        <f t="shared" si="2"/>
        <v>126</v>
      </c>
      <c r="J17" s="57">
        <f t="shared" si="3"/>
        <v>826</v>
      </c>
    </row>
    <row r="18" spans="1:10" x14ac:dyDescent="0.25">
      <c r="A18" s="59" t="s">
        <v>123</v>
      </c>
      <c r="B18" s="46" t="s">
        <v>124</v>
      </c>
      <c r="C18" s="44" t="s">
        <v>142</v>
      </c>
      <c r="D18" s="44" t="s">
        <v>143</v>
      </c>
      <c r="E18" s="45">
        <v>3228</v>
      </c>
      <c r="F18" s="42">
        <v>18</v>
      </c>
      <c r="G18" s="56">
        <f t="shared" si="0"/>
        <v>291</v>
      </c>
      <c r="H18" s="56">
        <f t="shared" si="1"/>
        <v>291</v>
      </c>
      <c r="I18" s="56">
        <f t="shared" si="2"/>
        <v>582</v>
      </c>
      <c r="J18" s="57">
        <f t="shared" si="3"/>
        <v>3810</v>
      </c>
    </row>
    <row r="19" spans="1:10" x14ac:dyDescent="0.25">
      <c r="A19" s="59" t="s">
        <v>123</v>
      </c>
      <c r="B19" s="46" t="s">
        <v>124</v>
      </c>
      <c r="C19" s="44" t="s">
        <v>144</v>
      </c>
      <c r="D19" s="44" t="s">
        <v>145</v>
      </c>
      <c r="E19" s="45">
        <v>3700</v>
      </c>
      <c r="F19" s="42">
        <v>18</v>
      </c>
      <c r="G19" s="56">
        <f t="shared" si="0"/>
        <v>333</v>
      </c>
      <c r="H19" s="56">
        <f t="shared" si="1"/>
        <v>333</v>
      </c>
      <c r="I19" s="56">
        <f t="shared" si="2"/>
        <v>666</v>
      </c>
      <c r="J19" s="57">
        <f t="shared" si="3"/>
        <v>4366</v>
      </c>
    </row>
    <row r="20" spans="1:10" x14ac:dyDescent="0.25">
      <c r="A20" s="59" t="s">
        <v>123</v>
      </c>
      <c r="B20" s="46" t="s">
        <v>124</v>
      </c>
      <c r="C20" s="44" t="s">
        <v>146</v>
      </c>
      <c r="D20" s="44" t="s">
        <v>145</v>
      </c>
      <c r="E20" s="45">
        <v>790</v>
      </c>
      <c r="F20" s="42">
        <v>18</v>
      </c>
      <c r="G20" s="56">
        <f t="shared" si="0"/>
        <v>71</v>
      </c>
      <c r="H20" s="56">
        <f t="shared" si="1"/>
        <v>71</v>
      </c>
      <c r="I20" s="56">
        <f t="shared" si="2"/>
        <v>142</v>
      </c>
      <c r="J20" s="57">
        <f t="shared" si="3"/>
        <v>932</v>
      </c>
    </row>
    <row r="21" spans="1:10" x14ac:dyDescent="0.25">
      <c r="A21" s="59" t="s">
        <v>127</v>
      </c>
      <c r="B21" s="46" t="s">
        <v>128</v>
      </c>
      <c r="C21" s="44" t="s">
        <v>147</v>
      </c>
      <c r="D21" s="44" t="s">
        <v>145</v>
      </c>
      <c r="E21" s="45">
        <v>1560</v>
      </c>
      <c r="F21" s="42">
        <v>18</v>
      </c>
      <c r="G21" s="56">
        <f t="shared" si="0"/>
        <v>140</v>
      </c>
      <c r="H21" s="56">
        <f t="shared" si="1"/>
        <v>140</v>
      </c>
      <c r="I21" s="56">
        <f t="shared" si="2"/>
        <v>280</v>
      </c>
      <c r="J21" s="57">
        <f t="shared" si="3"/>
        <v>1840</v>
      </c>
    </row>
    <row r="22" spans="1:10" x14ac:dyDescent="0.25">
      <c r="A22" s="59" t="s">
        <v>123</v>
      </c>
      <c r="B22" s="46" t="s">
        <v>124</v>
      </c>
      <c r="C22" s="44" t="s">
        <v>148</v>
      </c>
      <c r="D22" s="44" t="s">
        <v>149</v>
      </c>
      <c r="E22" s="45">
        <v>2500</v>
      </c>
      <c r="F22" s="42">
        <v>18</v>
      </c>
      <c r="G22" s="56">
        <f t="shared" si="0"/>
        <v>225</v>
      </c>
      <c r="H22" s="56">
        <f t="shared" si="1"/>
        <v>225</v>
      </c>
      <c r="I22" s="56">
        <f t="shared" si="2"/>
        <v>450</v>
      </c>
      <c r="J22" s="57">
        <f t="shared" si="3"/>
        <v>2950</v>
      </c>
    </row>
    <row r="23" spans="1:10" x14ac:dyDescent="0.25">
      <c r="A23" s="59" t="s">
        <v>123</v>
      </c>
      <c r="B23" s="46" t="s">
        <v>124</v>
      </c>
      <c r="C23" s="44" t="s">
        <v>150</v>
      </c>
      <c r="D23" s="44" t="s">
        <v>151</v>
      </c>
      <c r="E23" s="45">
        <v>1050</v>
      </c>
      <c r="F23" s="42">
        <v>18</v>
      </c>
      <c r="G23" s="56">
        <f t="shared" si="0"/>
        <v>95</v>
      </c>
      <c r="H23" s="56">
        <f t="shared" si="1"/>
        <v>95</v>
      </c>
      <c r="I23" s="56">
        <f t="shared" si="2"/>
        <v>190</v>
      </c>
      <c r="J23" s="57">
        <f t="shared" si="3"/>
        <v>1240</v>
      </c>
    </row>
    <row r="24" spans="1:10" x14ac:dyDescent="0.25">
      <c r="A24" s="59" t="s">
        <v>127</v>
      </c>
      <c r="B24" s="46" t="s">
        <v>128</v>
      </c>
      <c r="C24" s="44" t="s">
        <v>152</v>
      </c>
      <c r="D24" s="44" t="s">
        <v>151</v>
      </c>
      <c r="E24" s="45">
        <v>10500</v>
      </c>
      <c r="F24" s="42">
        <v>18</v>
      </c>
      <c r="G24" s="56">
        <f t="shared" si="0"/>
        <v>945</v>
      </c>
      <c r="H24" s="56">
        <f t="shared" si="1"/>
        <v>945</v>
      </c>
      <c r="I24" s="56">
        <f t="shared" si="2"/>
        <v>1890</v>
      </c>
      <c r="J24" s="57">
        <f t="shared" si="3"/>
        <v>12390</v>
      </c>
    </row>
    <row r="25" spans="1:10" x14ac:dyDescent="0.25">
      <c r="A25" s="59" t="s">
        <v>123</v>
      </c>
      <c r="B25" s="46" t="s">
        <v>124</v>
      </c>
      <c r="C25" s="44" t="s">
        <v>153</v>
      </c>
      <c r="D25" s="44" t="s">
        <v>112</v>
      </c>
      <c r="E25" s="45">
        <v>1150</v>
      </c>
      <c r="F25" s="42">
        <v>18</v>
      </c>
      <c r="G25" s="56">
        <f t="shared" si="0"/>
        <v>104</v>
      </c>
      <c r="H25" s="56">
        <f t="shared" si="1"/>
        <v>104</v>
      </c>
      <c r="I25" s="56">
        <f t="shared" si="2"/>
        <v>208</v>
      </c>
      <c r="J25" s="57">
        <f t="shared" si="3"/>
        <v>1358</v>
      </c>
    </row>
    <row r="26" spans="1:10" x14ac:dyDescent="0.25">
      <c r="A26" s="59" t="s">
        <v>123</v>
      </c>
      <c r="B26" s="46" t="s">
        <v>124</v>
      </c>
      <c r="C26" s="44" t="s">
        <v>154</v>
      </c>
      <c r="D26" s="44" t="s">
        <v>155</v>
      </c>
      <c r="E26" s="45">
        <v>1750</v>
      </c>
      <c r="F26" s="42">
        <v>18</v>
      </c>
      <c r="G26" s="56">
        <f t="shared" si="0"/>
        <v>158</v>
      </c>
      <c r="H26" s="56">
        <f t="shared" si="1"/>
        <v>158</v>
      </c>
      <c r="I26" s="56">
        <f t="shared" si="2"/>
        <v>316</v>
      </c>
      <c r="J26" s="57">
        <f t="shared" si="3"/>
        <v>2066</v>
      </c>
    </row>
    <row r="27" spans="1:10" x14ac:dyDescent="0.25">
      <c r="A27" s="59" t="s">
        <v>135</v>
      </c>
      <c r="B27" s="46" t="s">
        <v>136</v>
      </c>
      <c r="C27" s="44" t="s">
        <v>156</v>
      </c>
      <c r="D27" s="44" t="s">
        <v>155</v>
      </c>
      <c r="E27" s="45">
        <v>610</v>
      </c>
      <c r="F27" s="42">
        <v>18</v>
      </c>
      <c r="G27" s="56">
        <f t="shared" si="0"/>
        <v>55</v>
      </c>
      <c r="H27" s="56">
        <f t="shared" si="1"/>
        <v>55</v>
      </c>
      <c r="I27" s="56">
        <f t="shared" si="2"/>
        <v>110</v>
      </c>
      <c r="J27" s="57">
        <f t="shared" si="3"/>
        <v>720</v>
      </c>
    </row>
    <row r="28" spans="1:10" x14ac:dyDescent="0.25">
      <c r="A28" s="59" t="s">
        <v>135</v>
      </c>
      <c r="B28" s="46" t="s">
        <v>136</v>
      </c>
      <c r="C28" s="44" t="s">
        <v>157</v>
      </c>
      <c r="D28" s="44" t="s">
        <v>155</v>
      </c>
      <c r="E28" s="45">
        <v>2320</v>
      </c>
      <c r="F28" s="42">
        <v>18</v>
      </c>
      <c r="G28" s="56">
        <f t="shared" si="0"/>
        <v>209</v>
      </c>
      <c r="H28" s="56">
        <f t="shared" si="1"/>
        <v>209</v>
      </c>
      <c r="I28" s="56">
        <f t="shared" si="2"/>
        <v>418</v>
      </c>
      <c r="J28" s="57">
        <f t="shared" si="3"/>
        <v>2738</v>
      </c>
    </row>
    <row r="29" spans="1:10" x14ac:dyDescent="0.25">
      <c r="A29" s="59" t="s">
        <v>123</v>
      </c>
      <c r="B29" s="46" t="s">
        <v>124</v>
      </c>
      <c r="C29" s="44" t="s">
        <v>158</v>
      </c>
      <c r="D29" s="44" t="s">
        <v>110</v>
      </c>
      <c r="E29" s="45">
        <v>1700</v>
      </c>
      <c r="F29" s="42">
        <v>18</v>
      </c>
      <c r="G29" s="56">
        <f t="shared" ref="G29:G68" si="4">ROUND((E29*F29%)/2,)</f>
        <v>153</v>
      </c>
      <c r="H29" s="56">
        <f t="shared" si="1"/>
        <v>153</v>
      </c>
      <c r="I29" s="56">
        <f t="shared" ref="I29:I68" si="5">G29+H29</f>
        <v>306</v>
      </c>
      <c r="J29" s="57">
        <f t="shared" ref="J29:J68" si="6">E29+I29</f>
        <v>2006</v>
      </c>
    </row>
    <row r="30" spans="1:10" x14ac:dyDescent="0.25">
      <c r="A30" s="59" t="s">
        <v>123</v>
      </c>
      <c r="B30" s="46" t="s">
        <v>124</v>
      </c>
      <c r="C30" s="44" t="s">
        <v>159</v>
      </c>
      <c r="D30" s="44" t="s">
        <v>160</v>
      </c>
      <c r="E30" s="45">
        <v>1200</v>
      </c>
      <c r="F30" s="42">
        <v>18</v>
      </c>
      <c r="G30" s="56">
        <f t="shared" si="4"/>
        <v>108</v>
      </c>
      <c r="H30" s="56">
        <f t="shared" si="1"/>
        <v>108</v>
      </c>
      <c r="I30" s="56">
        <f t="shared" si="5"/>
        <v>216</v>
      </c>
      <c r="J30" s="57">
        <f t="shared" si="6"/>
        <v>1416</v>
      </c>
    </row>
    <row r="31" spans="1:10" x14ac:dyDescent="0.25">
      <c r="A31" s="59" t="s">
        <v>135</v>
      </c>
      <c r="B31" s="46" t="s">
        <v>136</v>
      </c>
      <c r="C31" s="44" t="s">
        <v>161</v>
      </c>
      <c r="D31" s="44" t="s">
        <v>162</v>
      </c>
      <c r="E31" s="45">
        <v>1350</v>
      </c>
      <c r="F31" s="42">
        <v>18</v>
      </c>
      <c r="G31" s="56">
        <f t="shared" si="4"/>
        <v>122</v>
      </c>
      <c r="H31" s="56">
        <f t="shared" si="1"/>
        <v>122</v>
      </c>
      <c r="I31" s="56">
        <f t="shared" si="5"/>
        <v>244</v>
      </c>
      <c r="J31" s="57">
        <f t="shared" si="6"/>
        <v>1594</v>
      </c>
    </row>
    <row r="32" spans="1:10" x14ac:dyDescent="0.25">
      <c r="A32" s="59" t="s">
        <v>123</v>
      </c>
      <c r="B32" s="46" t="s">
        <v>124</v>
      </c>
      <c r="C32" s="44" t="s">
        <v>163</v>
      </c>
      <c r="D32" s="44" t="s">
        <v>162</v>
      </c>
      <c r="E32" s="45">
        <v>1750</v>
      </c>
      <c r="F32" s="42">
        <v>18</v>
      </c>
      <c r="G32" s="56">
        <f t="shared" si="4"/>
        <v>158</v>
      </c>
      <c r="H32" s="56">
        <f t="shared" si="1"/>
        <v>158</v>
      </c>
      <c r="I32" s="56">
        <f t="shared" si="5"/>
        <v>316</v>
      </c>
      <c r="J32" s="57">
        <f t="shared" si="6"/>
        <v>2066</v>
      </c>
    </row>
    <row r="33" spans="1:10" x14ac:dyDescent="0.25">
      <c r="A33" s="59" t="s">
        <v>123</v>
      </c>
      <c r="B33" s="46" t="s">
        <v>124</v>
      </c>
      <c r="C33" s="44" t="s">
        <v>164</v>
      </c>
      <c r="D33" s="44" t="s">
        <v>162</v>
      </c>
      <c r="E33" s="45">
        <v>1300</v>
      </c>
      <c r="F33" s="42">
        <v>18</v>
      </c>
      <c r="G33" s="56">
        <v>108</v>
      </c>
      <c r="H33" s="56">
        <v>108</v>
      </c>
      <c r="I33" s="56">
        <v>216</v>
      </c>
      <c r="J33" s="57">
        <v>1416</v>
      </c>
    </row>
    <row r="34" spans="1:10" x14ac:dyDescent="0.25">
      <c r="A34" s="59" t="s">
        <v>123</v>
      </c>
      <c r="B34" s="46" t="s">
        <v>124</v>
      </c>
      <c r="C34" s="44" t="s">
        <v>165</v>
      </c>
      <c r="D34" s="44" t="s">
        <v>166</v>
      </c>
      <c r="E34" s="45">
        <v>1750</v>
      </c>
      <c r="F34" s="42">
        <v>18</v>
      </c>
      <c r="G34" s="56">
        <v>156</v>
      </c>
      <c r="H34" s="56">
        <v>156</v>
      </c>
      <c r="I34" s="56">
        <v>312</v>
      </c>
      <c r="J34" s="57">
        <v>2053</v>
      </c>
    </row>
    <row r="35" spans="1:10" x14ac:dyDescent="0.25">
      <c r="A35" s="59" t="s">
        <v>127</v>
      </c>
      <c r="B35" s="46" t="s">
        <v>128</v>
      </c>
      <c r="C35" s="44" t="s">
        <v>167</v>
      </c>
      <c r="D35" s="44" t="s">
        <v>166</v>
      </c>
      <c r="E35" s="45">
        <v>13000</v>
      </c>
      <c r="F35" s="42">
        <v>18</v>
      </c>
      <c r="G35" s="56">
        <f t="shared" si="4"/>
        <v>1170</v>
      </c>
      <c r="H35" s="56">
        <f t="shared" si="1"/>
        <v>1170</v>
      </c>
      <c r="I35" s="56">
        <f t="shared" si="5"/>
        <v>2340</v>
      </c>
      <c r="J35" s="57">
        <f t="shared" si="6"/>
        <v>15340</v>
      </c>
    </row>
    <row r="36" spans="1:10" x14ac:dyDescent="0.25">
      <c r="A36" s="59" t="s">
        <v>123</v>
      </c>
      <c r="B36" s="46" t="s">
        <v>124</v>
      </c>
      <c r="C36" s="44" t="s">
        <v>168</v>
      </c>
      <c r="D36" s="44" t="s">
        <v>166</v>
      </c>
      <c r="E36" s="45">
        <v>650</v>
      </c>
      <c r="F36" s="42">
        <v>18</v>
      </c>
      <c r="G36" s="56">
        <f t="shared" si="4"/>
        <v>59</v>
      </c>
      <c r="H36" s="56">
        <f t="shared" si="1"/>
        <v>59</v>
      </c>
      <c r="I36" s="56">
        <f t="shared" si="5"/>
        <v>118</v>
      </c>
      <c r="J36" s="57">
        <f t="shared" si="6"/>
        <v>768</v>
      </c>
    </row>
    <row r="37" spans="1:10" x14ac:dyDescent="0.25">
      <c r="A37" s="59" t="s">
        <v>123</v>
      </c>
      <c r="B37" s="46" t="s">
        <v>124</v>
      </c>
      <c r="C37" s="44" t="s">
        <v>169</v>
      </c>
      <c r="D37" s="44" t="s">
        <v>170</v>
      </c>
      <c r="E37" s="45">
        <v>910</v>
      </c>
      <c r="F37" s="42">
        <v>18</v>
      </c>
      <c r="G37" s="56">
        <f t="shared" si="4"/>
        <v>82</v>
      </c>
      <c r="H37" s="56">
        <f t="shared" si="1"/>
        <v>82</v>
      </c>
      <c r="I37" s="56">
        <f t="shared" si="5"/>
        <v>164</v>
      </c>
      <c r="J37" s="57">
        <f t="shared" si="6"/>
        <v>1074</v>
      </c>
    </row>
    <row r="38" spans="1:10" x14ac:dyDescent="0.25">
      <c r="A38" s="59" t="s">
        <v>135</v>
      </c>
      <c r="B38" s="46" t="s">
        <v>136</v>
      </c>
      <c r="C38" s="51" t="s">
        <v>171</v>
      </c>
      <c r="D38" s="52" t="s">
        <v>111</v>
      </c>
      <c r="E38" s="53">
        <v>600</v>
      </c>
      <c r="F38" s="42">
        <v>18</v>
      </c>
      <c r="G38" s="56">
        <f t="shared" si="4"/>
        <v>54</v>
      </c>
      <c r="H38" s="56">
        <f t="shared" si="1"/>
        <v>54</v>
      </c>
      <c r="I38" s="56">
        <f t="shared" si="5"/>
        <v>108</v>
      </c>
      <c r="J38" s="57">
        <f t="shared" si="6"/>
        <v>708</v>
      </c>
    </row>
    <row r="39" spans="1:10" x14ac:dyDescent="0.25">
      <c r="A39" s="59" t="s">
        <v>135</v>
      </c>
      <c r="B39" s="46" t="s">
        <v>136</v>
      </c>
      <c r="C39" s="46" t="s">
        <v>172</v>
      </c>
      <c r="D39" s="44" t="s">
        <v>111</v>
      </c>
      <c r="E39" s="45">
        <v>1200</v>
      </c>
      <c r="F39" s="42">
        <v>18</v>
      </c>
      <c r="G39" s="56">
        <f t="shared" si="4"/>
        <v>108</v>
      </c>
      <c r="H39" s="56">
        <f t="shared" si="1"/>
        <v>108</v>
      </c>
      <c r="I39" s="56">
        <f t="shared" si="5"/>
        <v>216</v>
      </c>
      <c r="J39" s="57">
        <f t="shared" si="6"/>
        <v>1416</v>
      </c>
    </row>
    <row r="40" spans="1:10" x14ac:dyDescent="0.25">
      <c r="A40" s="59" t="s">
        <v>123</v>
      </c>
      <c r="B40" s="46" t="s">
        <v>124</v>
      </c>
      <c r="C40" s="46" t="s">
        <v>173</v>
      </c>
      <c r="D40" s="44" t="s">
        <v>174</v>
      </c>
      <c r="E40" s="45">
        <v>2080</v>
      </c>
      <c r="F40" s="42">
        <v>18</v>
      </c>
      <c r="G40" s="56">
        <f t="shared" si="4"/>
        <v>187</v>
      </c>
      <c r="H40" s="56">
        <f t="shared" si="1"/>
        <v>187</v>
      </c>
      <c r="I40" s="56">
        <f t="shared" si="5"/>
        <v>374</v>
      </c>
      <c r="J40" s="57">
        <f t="shared" si="6"/>
        <v>2454</v>
      </c>
    </row>
    <row r="41" spans="1:10" x14ac:dyDescent="0.25">
      <c r="A41" s="59" t="s">
        <v>123</v>
      </c>
      <c r="B41" s="46" t="s">
        <v>124</v>
      </c>
      <c r="C41" s="46" t="s">
        <v>175</v>
      </c>
      <c r="D41" s="44" t="s">
        <v>111</v>
      </c>
      <c r="E41" s="45">
        <v>1720</v>
      </c>
      <c r="F41" s="42">
        <v>18</v>
      </c>
      <c r="G41" s="56">
        <f t="shared" si="4"/>
        <v>155</v>
      </c>
      <c r="H41" s="56">
        <f t="shared" si="1"/>
        <v>155</v>
      </c>
      <c r="I41" s="56">
        <f t="shared" si="5"/>
        <v>310</v>
      </c>
      <c r="J41" s="57">
        <f t="shared" si="6"/>
        <v>2030</v>
      </c>
    </row>
    <row r="42" spans="1:10" x14ac:dyDescent="0.25">
      <c r="A42" s="49"/>
      <c r="B42" s="46"/>
      <c r="C42" s="46"/>
      <c r="D42" s="44"/>
      <c r="E42" s="45"/>
      <c r="F42" s="42">
        <v>18</v>
      </c>
      <c r="G42" s="56">
        <f t="shared" si="4"/>
        <v>0</v>
      </c>
      <c r="H42" s="56">
        <f t="shared" si="1"/>
        <v>0</v>
      </c>
      <c r="I42" s="56">
        <f t="shared" si="5"/>
        <v>0</v>
      </c>
      <c r="J42" s="57">
        <f t="shared" si="6"/>
        <v>0</v>
      </c>
    </row>
    <row r="43" spans="1:10" x14ac:dyDescent="0.25">
      <c r="A43" s="49"/>
      <c r="B43" s="46"/>
      <c r="C43" s="46"/>
      <c r="D43" s="44"/>
      <c r="E43" s="45"/>
      <c r="F43" s="42">
        <v>18</v>
      </c>
      <c r="G43" s="56">
        <f t="shared" si="4"/>
        <v>0</v>
      </c>
      <c r="H43" s="56">
        <f t="shared" si="1"/>
        <v>0</v>
      </c>
      <c r="I43" s="56">
        <f t="shared" si="5"/>
        <v>0</v>
      </c>
      <c r="J43" s="57">
        <f t="shared" si="6"/>
        <v>0</v>
      </c>
    </row>
    <row r="44" spans="1:10" x14ac:dyDescent="0.25">
      <c r="A44" s="49"/>
      <c r="B44" s="46"/>
      <c r="C44" s="46"/>
      <c r="D44" s="44"/>
      <c r="E44" s="45"/>
      <c r="F44" s="42">
        <v>18</v>
      </c>
      <c r="G44" s="56">
        <f t="shared" si="4"/>
        <v>0</v>
      </c>
      <c r="H44" s="56">
        <f t="shared" si="1"/>
        <v>0</v>
      </c>
      <c r="I44" s="56">
        <f t="shared" si="5"/>
        <v>0</v>
      </c>
      <c r="J44" s="57">
        <f t="shared" si="6"/>
        <v>0</v>
      </c>
    </row>
    <row r="45" spans="1:10" x14ac:dyDescent="0.25">
      <c r="A45" s="49"/>
      <c r="B45" s="46"/>
      <c r="C45" s="46"/>
      <c r="D45" s="44"/>
      <c r="E45" s="45"/>
      <c r="F45" s="42">
        <v>18</v>
      </c>
      <c r="G45" s="56">
        <f t="shared" si="4"/>
        <v>0</v>
      </c>
      <c r="H45" s="56">
        <f t="shared" si="1"/>
        <v>0</v>
      </c>
      <c r="I45" s="56">
        <f t="shared" si="5"/>
        <v>0</v>
      </c>
      <c r="J45" s="57">
        <f t="shared" si="6"/>
        <v>0</v>
      </c>
    </row>
    <row r="46" spans="1:10" x14ac:dyDescent="0.25">
      <c r="A46" s="49"/>
      <c r="B46" s="46"/>
      <c r="C46" s="46"/>
      <c r="D46" s="44"/>
      <c r="E46" s="45"/>
      <c r="F46" s="42">
        <v>18</v>
      </c>
      <c r="G46" s="56">
        <f t="shared" si="4"/>
        <v>0</v>
      </c>
      <c r="H46" s="56">
        <f t="shared" si="1"/>
        <v>0</v>
      </c>
      <c r="I46" s="56">
        <f t="shared" si="5"/>
        <v>0</v>
      </c>
      <c r="J46" s="57">
        <f t="shared" si="6"/>
        <v>0</v>
      </c>
    </row>
    <row r="47" spans="1:10" x14ac:dyDescent="0.25">
      <c r="A47" s="49"/>
      <c r="B47" s="46"/>
      <c r="C47" s="46"/>
      <c r="D47" s="44"/>
      <c r="E47" s="45"/>
      <c r="F47" s="42">
        <v>18</v>
      </c>
      <c r="G47" s="56">
        <f t="shared" si="4"/>
        <v>0</v>
      </c>
      <c r="H47" s="56">
        <f t="shared" si="1"/>
        <v>0</v>
      </c>
      <c r="I47" s="56">
        <f t="shared" si="5"/>
        <v>0</v>
      </c>
      <c r="J47" s="57">
        <f t="shared" si="6"/>
        <v>0</v>
      </c>
    </row>
    <row r="48" spans="1:10" x14ac:dyDescent="0.25">
      <c r="A48" s="49"/>
      <c r="B48" s="46"/>
      <c r="C48" s="46"/>
      <c r="D48" s="44"/>
      <c r="E48" s="45"/>
      <c r="F48" s="42">
        <v>18</v>
      </c>
      <c r="G48" s="56">
        <f t="shared" si="4"/>
        <v>0</v>
      </c>
      <c r="H48" s="56">
        <f t="shared" si="1"/>
        <v>0</v>
      </c>
      <c r="I48" s="56">
        <f t="shared" si="5"/>
        <v>0</v>
      </c>
      <c r="J48" s="57">
        <f t="shared" si="6"/>
        <v>0</v>
      </c>
    </row>
    <row r="49" spans="1:10" x14ac:dyDescent="0.25">
      <c r="A49" s="49"/>
      <c r="B49" s="46"/>
      <c r="C49" s="46"/>
      <c r="D49" s="44"/>
      <c r="E49" s="45"/>
      <c r="F49" s="42">
        <v>18</v>
      </c>
      <c r="G49" s="56">
        <f t="shared" si="4"/>
        <v>0</v>
      </c>
      <c r="H49" s="56">
        <f t="shared" si="1"/>
        <v>0</v>
      </c>
      <c r="I49" s="56">
        <f t="shared" si="5"/>
        <v>0</v>
      </c>
      <c r="J49" s="57">
        <f t="shared" si="6"/>
        <v>0</v>
      </c>
    </row>
    <row r="50" spans="1:10" x14ac:dyDescent="0.25">
      <c r="A50" s="49"/>
      <c r="B50" s="46"/>
      <c r="C50" s="46"/>
      <c r="D50" s="44"/>
      <c r="E50" s="45"/>
      <c r="F50" s="42">
        <v>18</v>
      </c>
      <c r="G50" s="56">
        <f t="shared" si="4"/>
        <v>0</v>
      </c>
      <c r="H50" s="56">
        <f t="shared" si="1"/>
        <v>0</v>
      </c>
      <c r="I50" s="56">
        <f t="shared" si="5"/>
        <v>0</v>
      </c>
      <c r="J50" s="57">
        <f t="shared" si="6"/>
        <v>0</v>
      </c>
    </row>
    <row r="51" spans="1:10" x14ac:dyDescent="0.25">
      <c r="A51" s="49"/>
      <c r="B51" s="46"/>
      <c r="C51" s="46"/>
      <c r="D51" s="44"/>
      <c r="E51" s="45"/>
      <c r="F51" s="42">
        <v>18</v>
      </c>
      <c r="G51" s="56">
        <f t="shared" si="4"/>
        <v>0</v>
      </c>
      <c r="H51" s="56">
        <f t="shared" si="1"/>
        <v>0</v>
      </c>
      <c r="I51" s="56">
        <f t="shared" si="5"/>
        <v>0</v>
      </c>
      <c r="J51" s="57">
        <f t="shared" si="6"/>
        <v>0</v>
      </c>
    </row>
    <row r="52" spans="1:10" x14ac:dyDescent="0.25">
      <c r="A52" s="49"/>
      <c r="B52" s="46"/>
      <c r="C52" s="46"/>
      <c r="D52" s="44"/>
      <c r="E52" s="45"/>
      <c r="F52" s="42">
        <v>18</v>
      </c>
      <c r="G52" s="56">
        <f t="shared" si="4"/>
        <v>0</v>
      </c>
      <c r="H52" s="56">
        <f t="shared" si="1"/>
        <v>0</v>
      </c>
      <c r="I52" s="56">
        <f t="shared" si="5"/>
        <v>0</v>
      </c>
      <c r="J52" s="57">
        <f t="shared" si="6"/>
        <v>0</v>
      </c>
    </row>
    <row r="53" spans="1:10" x14ac:dyDescent="0.25">
      <c r="A53" s="49"/>
      <c r="B53" s="46"/>
      <c r="C53" s="46"/>
      <c r="D53" s="44"/>
      <c r="E53" s="45"/>
      <c r="F53" s="42">
        <v>18</v>
      </c>
      <c r="G53" s="56">
        <f t="shared" si="4"/>
        <v>0</v>
      </c>
      <c r="H53" s="56">
        <f t="shared" si="1"/>
        <v>0</v>
      </c>
      <c r="I53" s="56">
        <f t="shared" si="5"/>
        <v>0</v>
      </c>
      <c r="J53" s="57">
        <f t="shared" si="6"/>
        <v>0</v>
      </c>
    </row>
    <row r="54" spans="1:10" x14ac:dyDescent="0.25">
      <c r="A54" s="49"/>
      <c r="B54" s="46"/>
      <c r="C54" s="46"/>
      <c r="D54" s="44"/>
      <c r="E54" s="45"/>
      <c r="F54" s="42">
        <v>18</v>
      </c>
      <c r="G54" s="56">
        <f t="shared" si="4"/>
        <v>0</v>
      </c>
      <c r="H54" s="56">
        <f t="shared" si="1"/>
        <v>0</v>
      </c>
      <c r="I54" s="56">
        <f t="shared" si="5"/>
        <v>0</v>
      </c>
      <c r="J54" s="57">
        <f t="shared" si="6"/>
        <v>0</v>
      </c>
    </row>
    <row r="55" spans="1:10" x14ac:dyDescent="0.25">
      <c r="A55" s="49"/>
      <c r="B55" s="46"/>
      <c r="C55" s="46"/>
      <c r="D55" s="44"/>
      <c r="E55" s="45"/>
      <c r="F55" s="42">
        <v>18</v>
      </c>
      <c r="G55" s="56">
        <f t="shared" si="4"/>
        <v>0</v>
      </c>
      <c r="H55" s="56">
        <f t="shared" si="1"/>
        <v>0</v>
      </c>
      <c r="I55" s="56">
        <f t="shared" si="5"/>
        <v>0</v>
      </c>
      <c r="J55" s="57">
        <f t="shared" si="6"/>
        <v>0</v>
      </c>
    </row>
    <row r="56" spans="1:10" x14ac:dyDescent="0.25">
      <c r="A56" s="49"/>
      <c r="B56" s="46"/>
      <c r="C56" s="46"/>
      <c r="D56" s="44"/>
      <c r="E56" s="45"/>
      <c r="F56" s="42">
        <v>18</v>
      </c>
      <c r="G56" s="56">
        <f t="shared" si="4"/>
        <v>0</v>
      </c>
      <c r="H56" s="56">
        <f t="shared" si="1"/>
        <v>0</v>
      </c>
      <c r="I56" s="56">
        <f t="shared" si="5"/>
        <v>0</v>
      </c>
      <c r="J56" s="57">
        <f t="shared" si="6"/>
        <v>0</v>
      </c>
    </row>
    <row r="57" spans="1:10" x14ac:dyDescent="0.25">
      <c r="A57" s="49"/>
      <c r="B57" s="46"/>
      <c r="C57" s="46"/>
      <c r="D57" s="44"/>
      <c r="E57" s="45"/>
      <c r="F57" s="42">
        <v>18</v>
      </c>
      <c r="G57" s="56">
        <f t="shared" si="4"/>
        <v>0</v>
      </c>
      <c r="H57" s="56">
        <f t="shared" si="1"/>
        <v>0</v>
      </c>
      <c r="I57" s="56">
        <f t="shared" si="5"/>
        <v>0</v>
      </c>
      <c r="J57" s="57">
        <f t="shared" si="6"/>
        <v>0</v>
      </c>
    </row>
    <row r="58" spans="1:10" x14ac:dyDescent="0.25">
      <c r="A58" s="49"/>
      <c r="B58" s="46"/>
      <c r="C58" s="46"/>
      <c r="D58" s="44"/>
      <c r="E58" s="45"/>
      <c r="F58" s="42">
        <v>18</v>
      </c>
      <c r="G58" s="56">
        <f t="shared" si="4"/>
        <v>0</v>
      </c>
      <c r="H58" s="56">
        <f t="shared" si="1"/>
        <v>0</v>
      </c>
      <c r="I58" s="56">
        <f t="shared" si="5"/>
        <v>0</v>
      </c>
      <c r="J58" s="57">
        <f t="shared" si="6"/>
        <v>0</v>
      </c>
    </row>
    <row r="59" spans="1:10" x14ac:dyDescent="0.25">
      <c r="A59" s="49"/>
      <c r="B59" s="46"/>
      <c r="C59" s="46"/>
      <c r="D59" s="44"/>
      <c r="E59" s="45"/>
      <c r="F59" s="42">
        <v>18</v>
      </c>
      <c r="G59" s="56">
        <f t="shared" si="4"/>
        <v>0</v>
      </c>
      <c r="H59" s="56">
        <f t="shared" si="1"/>
        <v>0</v>
      </c>
      <c r="I59" s="56">
        <f t="shared" si="5"/>
        <v>0</v>
      </c>
      <c r="J59" s="57">
        <f t="shared" si="6"/>
        <v>0</v>
      </c>
    </row>
    <row r="60" spans="1:10" x14ac:dyDescent="0.25">
      <c r="A60" s="49"/>
      <c r="B60" s="46"/>
      <c r="C60" s="46"/>
      <c r="D60" s="44"/>
      <c r="E60" s="45"/>
      <c r="F60" s="42">
        <v>18</v>
      </c>
      <c r="G60" s="56">
        <f t="shared" si="4"/>
        <v>0</v>
      </c>
      <c r="H60" s="56">
        <f t="shared" si="1"/>
        <v>0</v>
      </c>
      <c r="I60" s="56">
        <f t="shared" si="5"/>
        <v>0</v>
      </c>
      <c r="J60" s="57">
        <f t="shared" si="6"/>
        <v>0</v>
      </c>
    </row>
    <row r="61" spans="1:10" x14ac:dyDescent="0.25">
      <c r="A61" s="49"/>
      <c r="B61" s="46"/>
      <c r="C61" s="46"/>
      <c r="D61" s="44"/>
      <c r="E61" s="45"/>
      <c r="F61" s="42">
        <v>18</v>
      </c>
      <c r="G61" s="56">
        <f t="shared" si="4"/>
        <v>0</v>
      </c>
      <c r="H61" s="56">
        <f t="shared" si="1"/>
        <v>0</v>
      </c>
      <c r="I61" s="56">
        <f t="shared" si="5"/>
        <v>0</v>
      </c>
      <c r="J61" s="57">
        <f t="shared" si="6"/>
        <v>0</v>
      </c>
    </row>
    <row r="62" spans="1:10" x14ac:dyDescent="0.25">
      <c r="A62" s="49"/>
      <c r="B62" s="46"/>
      <c r="C62" s="46"/>
      <c r="D62" s="44"/>
      <c r="E62" s="45"/>
      <c r="F62" s="42">
        <v>18</v>
      </c>
      <c r="G62" s="56">
        <f t="shared" si="4"/>
        <v>0</v>
      </c>
      <c r="H62" s="56">
        <f t="shared" si="1"/>
        <v>0</v>
      </c>
      <c r="I62" s="56">
        <f t="shared" si="5"/>
        <v>0</v>
      </c>
      <c r="J62" s="57">
        <f t="shared" si="6"/>
        <v>0</v>
      </c>
    </row>
    <row r="63" spans="1:10" x14ac:dyDescent="0.25">
      <c r="A63" s="49"/>
      <c r="B63" s="46"/>
      <c r="C63" s="46"/>
      <c r="D63" s="44"/>
      <c r="E63" s="45"/>
      <c r="F63" s="42">
        <v>18</v>
      </c>
      <c r="G63" s="56">
        <f t="shared" si="4"/>
        <v>0</v>
      </c>
      <c r="H63" s="56">
        <f t="shared" si="1"/>
        <v>0</v>
      </c>
      <c r="I63" s="56">
        <f t="shared" si="5"/>
        <v>0</v>
      </c>
      <c r="J63" s="57">
        <f t="shared" si="6"/>
        <v>0</v>
      </c>
    </row>
    <row r="64" spans="1:10" x14ac:dyDescent="0.25">
      <c r="A64" s="49"/>
      <c r="B64" s="46"/>
      <c r="C64" s="46"/>
      <c r="D64" s="44"/>
      <c r="E64" s="45"/>
      <c r="F64" s="42">
        <v>18</v>
      </c>
      <c r="G64" s="56">
        <f t="shared" si="4"/>
        <v>0</v>
      </c>
      <c r="H64" s="56">
        <f t="shared" si="1"/>
        <v>0</v>
      </c>
      <c r="I64" s="56">
        <f t="shared" si="5"/>
        <v>0</v>
      </c>
      <c r="J64" s="57">
        <f t="shared" si="6"/>
        <v>0</v>
      </c>
    </row>
    <row r="65" spans="1:10" x14ac:dyDescent="0.25">
      <c r="A65" s="49"/>
      <c r="B65" s="46"/>
      <c r="C65" s="46"/>
      <c r="D65" s="44"/>
      <c r="E65" s="45"/>
      <c r="F65" s="42">
        <v>18</v>
      </c>
      <c r="G65" s="56">
        <f t="shared" si="4"/>
        <v>0</v>
      </c>
      <c r="H65" s="56">
        <f t="shared" si="1"/>
        <v>0</v>
      </c>
      <c r="I65" s="56">
        <f t="shared" si="5"/>
        <v>0</v>
      </c>
      <c r="J65" s="57">
        <f t="shared" si="6"/>
        <v>0</v>
      </c>
    </row>
    <row r="66" spans="1:10" x14ac:dyDescent="0.25">
      <c r="A66" s="49"/>
      <c r="B66" s="46"/>
      <c r="C66" s="46"/>
      <c r="D66" s="44"/>
      <c r="E66" s="45"/>
      <c r="F66" s="42">
        <v>18</v>
      </c>
      <c r="G66" s="56">
        <f t="shared" si="4"/>
        <v>0</v>
      </c>
      <c r="H66" s="56">
        <f t="shared" si="1"/>
        <v>0</v>
      </c>
      <c r="I66" s="56">
        <f t="shared" si="5"/>
        <v>0</v>
      </c>
      <c r="J66" s="57">
        <f t="shared" si="6"/>
        <v>0</v>
      </c>
    </row>
    <row r="67" spans="1:10" x14ac:dyDescent="0.25">
      <c r="A67" s="49"/>
      <c r="B67" s="46"/>
      <c r="C67" s="46"/>
      <c r="D67" s="44"/>
      <c r="E67" s="45"/>
      <c r="F67" s="42">
        <v>18</v>
      </c>
      <c r="G67" s="56">
        <f t="shared" si="4"/>
        <v>0</v>
      </c>
      <c r="H67" s="56">
        <f t="shared" ref="H67:H68" si="7">G67</f>
        <v>0</v>
      </c>
      <c r="I67" s="56">
        <f t="shared" si="5"/>
        <v>0</v>
      </c>
      <c r="J67" s="57">
        <f t="shared" si="6"/>
        <v>0</v>
      </c>
    </row>
    <row r="68" spans="1:10" x14ac:dyDescent="0.25">
      <c r="A68" s="49"/>
      <c r="B68" s="46"/>
      <c r="C68" s="46"/>
      <c r="D68" s="44"/>
      <c r="E68" s="45"/>
      <c r="F68" s="42">
        <v>18</v>
      </c>
      <c r="G68" s="56">
        <f t="shared" si="4"/>
        <v>0</v>
      </c>
      <c r="H68" s="56">
        <f t="shared" si="7"/>
        <v>0</v>
      </c>
      <c r="I68" s="56">
        <f t="shared" si="5"/>
        <v>0</v>
      </c>
      <c r="J68" s="57">
        <f t="shared" si="6"/>
        <v>0</v>
      </c>
    </row>
    <row r="69" spans="1:10" x14ac:dyDescent="0.25">
      <c r="A69" s="49"/>
      <c r="B69" s="46"/>
      <c r="C69" s="46"/>
      <c r="D69" s="44"/>
      <c r="E69" s="45"/>
      <c r="F69" s="42"/>
      <c r="G69" s="36"/>
      <c r="H69" s="36"/>
      <c r="I69" s="36"/>
      <c r="J69" s="37"/>
    </row>
    <row r="70" spans="1:10" x14ac:dyDescent="0.25">
      <c r="A70" s="49"/>
      <c r="B70" s="46"/>
      <c r="C70" s="46"/>
      <c r="D70" s="44"/>
      <c r="E70" s="45"/>
      <c r="F70" s="42"/>
      <c r="G70" s="36"/>
      <c r="H70" s="36"/>
      <c r="I70" s="36"/>
      <c r="J70" s="37"/>
    </row>
    <row r="71" spans="1:10" x14ac:dyDescent="0.25">
      <c r="A71" s="49"/>
      <c r="B71" s="46"/>
      <c r="C71" s="46"/>
      <c r="D71" s="44"/>
      <c r="E71" s="45"/>
      <c r="F71" s="42"/>
      <c r="G71" s="36"/>
      <c r="H71" s="36"/>
      <c r="I71" s="36"/>
      <c r="J71" s="37"/>
    </row>
    <row r="72" spans="1:10" x14ac:dyDescent="0.25">
      <c r="A72" s="49"/>
      <c r="B72" s="46"/>
      <c r="C72" s="46"/>
      <c r="D72" s="44"/>
      <c r="E72" s="45"/>
      <c r="F72" s="42"/>
      <c r="G72" s="36"/>
      <c r="H72" s="36"/>
      <c r="I72" s="36"/>
      <c r="J72" s="37"/>
    </row>
    <row r="73" spans="1:10" x14ac:dyDescent="0.25">
      <c r="A73" s="49"/>
      <c r="B73" s="46"/>
      <c r="C73" s="46"/>
      <c r="D73" s="44"/>
      <c r="E73" s="45"/>
      <c r="F73" s="42"/>
      <c r="G73" s="36"/>
      <c r="H73" s="36"/>
      <c r="I73" s="36"/>
      <c r="J73" s="37"/>
    </row>
    <row r="74" spans="1:10" x14ac:dyDescent="0.25">
      <c r="A74" s="49"/>
      <c r="B74" s="46"/>
      <c r="C74" s="46"/>
      <c r="D74" s="44"/>
      <c r="E74" s="45"/>
      <c r="F74" s="42"/>
      <c r="G74" s="36"/>
      <c r="H74" s="36"/>
      <c r="I74" s="36"/>
      <c r="J74" s="37"/>
    </row>
    <row r="75" spans="1:10" x14ac:dyDescent="0.25">
      <c r="A75" s="49"/>
      <c r="B75" s="46"/>
      <c r="C75" s="46"/>
      <c r="D75" s="44"/>
      <c r="E75" s="45"/>
      <c r="F75" s="42">
        <v>0</v>
      </c>
      <c r="G75" s="36">
        <f t="shared" ref="G75:G138" si="8">E75*F75%</f>
        <v>0</v>
      </c>
      <c r="H75" s="36"/>
      <c r="I75" s="36"/>
      <c r="J75" s="37">
        <f t="shared" ref="J75:J122" si="9">ROUND(E75+G75,)</f>
        <v>0</v>
      </c>
    </row>
    <row r="76" spans="1:10" x14ac:dyDescent="0.25">
      <c r="A76" s="49"/>
      <c r="B76" s="46"/>
      <c r="C76" s="46"/>
      <c r="D76" s="44"/>
      <c r="E76" s="45"/>
      <c r="F76" s="42">
        <v>0</v>
      </c>
      <c r="G76" s="36">
        <f t="shared" si="8"/>
        <v>0</v>
      </c>
      <c r="H76" s="36"/>
      <c r="I76" s="36"/>
      <c r="J76" s="37">
        <f t="shared" si="9"/>
        <v>0</v>
      </c>
    </row>
    <row r="77" spans="1:10" x14ac:dyDescent="0.25">
      <c r="A77" s="49"/>
      <c r="B77" s="46"/>
      <c r="C77" s="46"/>
      <c r="D77" s="44"/>
      <c r="E77" s="45"/>
      <c r="F77" s="42">
        <v>0</v>
      </c>
      <c r="G77" s="36">
        <f t="shared" si="8"/>
        <v>0</v>
      </c>
      <c r="H77" s="36"/>
      <c r="I77" s="36"/>
      <c r="J77" s="37">
        <f t="shared" si="9"/>
        <v>0</v>
      </c>
    </row>
    <row r="78" spans="1:10" x14ac:dyDescent="0.25">
      <c r="A78" s="49"/>
      <c r="B78" s="46"/>
      <c r="C78" s="46"/>
      <c r="D78" s="44"/>
      <c r="E78" s="45"/>
      <c r="F78" s="42">
        <v>0</v>
      </c>
      <c r="G78" s="36">
        <f t="shared" si="8"/>
        <v>0</v>
      </c>
      <c r="H78" s="36"/>
      <c r="I78" s="36"/>
      <c r="J78" s="37">
        <f t="shared" si="9"/>
        <v>0</v>
      </c>
    </row>
    <row r="79" spans="1:10" x14ac:dyDescent="0.25">
      <c r="A79" s="49"/>
      <c r="B79" s="46"/>
      <c r="C79" s="46"/>
      <c r="D79" s="44"/>
      <c r="E79" s="45"/>
      <c r="F79" s="42">
        <v>0</v>
      </c>
      <c r="G79" s="36">
        <f t="shared" si="8"/>
        <v>0</v>
      </c>
      <c r="H79" s="36"/>
      <c r="I79" s="36"/>
      <c r="J79" s="37">
        <f t="shared" si="9"/>
        <v>0</v>
      </c>
    </row>
    <row r="80" spans="1:10" x14ac:dyDescent="0.25">
      <c r="A80" s="49"/>
      <c r="B80" s="46"/>
      <c r="C80" s="46"/>
      <c r="D80" s="44"/>
      <c r="E80" s="45"/>
      <c r="F80" s="42">
        <v>0</v>
      </c>
      <c r="G80" s="36">
        <f t="shared" si="8"/>
        <v>0</v>
      </c>
      <c r="H80" s="36"/>
      <c r="I80" s="36"/>
      <c r="J80" s="37">
        <f t="shared" si="9"/>
        <v>0</v>
      </c>
    </row>
    <row r="81" spans="1:10" x14ac:dyDescent="0.25">
      <c r="A81" s="49"/>
      <c r="B81" s="46"/>
      <c r="C81" s="46"/>
      <c r="D81" s="44"/>
      <c r="E81" s="45"/>
      <c r="F81" s="42">
        <v>0</v>
      </c>
      <c r="G81" s="36">
        <f t="shared" si="8"/>
        <v>0</v>
      </c>
      <c r="H81" s="36"/>
      <c r="I81" s="36"/>
      <c r="J81" s="37">
        <f t="shared" si="9"/>
        <v>0</v>
      </c>
    </row>
    <row r="82" spans="1:10" x14ac:dyDescent="0.25">
      <c r="A82" s="49"/>
      <c r="B82" s="46"/>
      <c r="C82" s="46"/>
      <c r="D82" s="44"/>
      <c r="E82" s="45"/>
      <c r="F82" s="42">
        <v>0</v>
      </c>
      <c r="G82" s="36">
        <f t="shared" si="8"/>
        <v>0</v>
      </c>
      <c r="H82" s="36"/>
      <c r="I82" s="36"/>
      <c r="J82" s="37">
        <f t="shared" si="9"/>
        <v>0</v>
      </c>
    </row>
    <row r="83" spans="1:10" x14ac:dyDescent="0.25">
      <c r="A83" s="49"/>
      <c r="B83" s="46"/>
      <c r="C83" s="46"/>
      <c r="D83" s="44"/>
      <c r="E83" s="45"/>
      <c r="F83" s="42">
        <v>0</v>
      </c>
      <c r="G83" s="36">
        <f t="shared" si="8"/>
        <v>0</v>
      </c>
      <c r="H83" s="36"/>
      <c r="I83" s="36"/>
      <c r="J83" s="37">
        <f t="shared" si="9"/>
        <v>0</v>
      </c>
    </row>
    <row r="84" spans="1:10" x14ac:dyDescent="0.25">
      <c r="A84" s="49"/>
      <c r="B84" s="46"/>
      <c r="C84" s="46"/>
      <c r="D84" s="44"/>
      <c r="E84" s="45"/>
      <c r="F84" s="42">
        <v>0</v>
      </c>
      <c r="G84" s="36">
        <f t="shared" si="8"/>
        <v>0</v>
      </c>
      <c r="H84" s="36"/>
      <c r="I84" s="36"/>
      <c r="J84" s="37">
        <f t="shared" si="9"/>
        <v>0</v>
      </c>
    </row>
    <row r="85" spans="1:10" x14ac:dyDescent="0.25">
      <c r="A85" s="49"/>
      <c r="B85" s="46"/>
      <c r="C85" s="46"/>
      <c r="D85" s="44"/>
      <c r="E85" s="45"/>
      <c r="F85" s="42">
        <v>0</v>
      </c>
      <c r="G85" s="36">
        <f t="shared" si="8"/>
        <v>0</v>
      </c>
      <c r="H85" s="36"/>
      <c r="I85" s="36"/>
      <c r="J85" s="37">
        <f t="shared" si="9"/>
        <v>0</v>
      </c>
    </row>
    <row r="86" spans="1:10" x14ac:dyDescent="0.25">
      <c r="A86" s="49"/>
      <c r="B86" s="46"/>
      <c r="C86" s="46"/>
      <c r="D86" s="44"/>
      <c r="E86" s="45"/>
      <c r="F86" s="42">
        <v>0</v>
      </c>
      <c r="G86" s="36">
        <f t="shared" si="8"/>
        <v>0</v>
      </c>
      <c r="H86" s="36"/>
      <c r="I86" s="36"/>
      <c r="J86" s="37">
        <f t="shared" si="9"/>
        <v>0</v>
      </c>
    </row>
    <row r="87" spans="1:10" x14ac:dyDescent="0.25">
      <c r="A87" s="49"/>
      <c r="B87" s="46"/>
      <c r="C87" s="46"/>
      <c r="D87" s="44"/>
      <c r="E87" s="45"/>
      <c r="F87" s="42">
        <v>0</v>
      </c>
      <c r="G87" s="36">
        <f t="shared" si="8"/>
        <v>0</v>
      </c>
      <c r="H87" s="36"/>
      <c r="I87" s="36"/>
      <c r="J87" s="37">
        <f t="shared" si="9"/>
        <v>0</v>
      </c>
    </row>
    <row r="88" spans="1:10" x14ac:dyDescent="0.25">
      <c r="A88" s="49"/>
      <c r="B88" s="46"/>
      <c r="C88" s="46"/>
      <c r="D88" s="44"/>
      <c r="E88" s="45"/>
      <c r="F88" s="42">
        <v>0</v>
      </c>
      <c r="G88" s="36">
        <f t="shared" si="8"/>
        <v>0</v>
      </c>
      <c r="H88" s="36"/>
      <c r="I88" s="36"/>
      <c r="J88" s="37">
        <f t="shared" si="9"/>
        <v>0</v>
      </c>
    </row>
    <row r="89" spans="1:10" x14ac:dyDescent="0.25">
      <c r="A89" s="49"/>
      <c r="B89" s="46"/>
      <c r="C89" s="46"/>
      <c r="D89" s="44"/>
      <c r="E89" s="45"/>
      <c r="F89" s="42">
        <v>0</v>
      </c>
      <c r="G89" s="36">
        <f t="shared" si="8"/>
        <v>0</v>
      </c>
      <c r="H89" s="36"/>
      <c r="I89" s="36"/>
      <c r="J89" s="37">
        <f t="shared" si="9"/>
        <v>0</v>
      </c>
    </row>
    <row r="90" spans="1:10" x14ac:dyDescent="0.25">
      <c r="A90" s="49"/>
      <c r="B90" s="46"/>
      <c r="C90" s="46"/>
      <c r="D90" s="44"/>
      <c r="E90" s="45"/>
      <c r="F90" s="42">
        <v>0</v>
      </c>
      <c r="G90" s="36">
        <f t="shared" si="8"/>
        <v>0</v>
      </c>
      <c r="H90" s="36"/>
      <c r="I90" s="36"/>
      <c r="J90" s="37">
        <f t="shared" si="9"/>
        <v>0</v>
      </c>
    </row>
    <row r="91" spans="1:10" x14ac:dyDescent="0.25">
      <c r="A91" s="49"/>
      <c r="B91" s="46"/>
      <c r="C91" s="46"/>
      <c r="D91" s="44"/>
      <c r="E91" s="45"/>
      <c r="F91" s="42">
        <v>0</v>
      </c>
      <c r="G91" s="36">
        <f t="shared" si="8"/>
        <v>0</v>
      </c>
      <c r="H91" s="36"/>
      <c r="I91" s="36"/>
      <c r="J91" s="37">
        <f t="shared" si="9"/>
        <v>0</v>
      </c>
    </row>
    <row r="92" spans="1:10" x14ac:dyDescent="0.25">
      <c r="A92" s="49"/>
      <c r="B92" s="46"/>
      <c r="C92" s="46"/>
      <c r="D92" s="44"/>
      <c r="E92" s="45"/>
      <c r="F92" s="42">
        <v>0</v>
      </c>
      <c r="G92" s="36">
        <f t="shared" si="8"/>
        <v>0</v>
      </c>
      <c r="H92" s="36"/>
      <c r="I92" s="36"/>
      <c r="J92" s="37">
        <f t="shared" si="9"/>
        <v>0</v>
      </c>
    </row>
    <row r="93" spans="1:10" x14ac:dyDescent="0.25">
      <c r="A93" s="49"/>
      <c r="B93" s="46"/>
      <c r="C93" s="46"/>
      <c r="D93" s="44"/>
      <c r="E93" s="45"/>
      <c r="F93" s="42">
        <v>0</v>
      </c>
      <c r="G93" s="36">
        <f t="shared" si="8"/>
        <v>0</v>
      </c>
      <c r="H93" s="36"/>
      <c r="I93" s="36"/>
      <c r="J93" s="37">
        <f t="shared" si="9"/>
        <v>0</v>
      </c>
    </row>
    <row r="94" spans="1:10" x14ac:dyDescent="0.25">
      <c r="A94" s="49"/>
      <c r="B94" s="46"/>
      <c r="C94" s="46"/>
      <c r="D94" s="44"/>
      <c r="E94" s="45"/>
      <c r="F94" s="42">
        <v>0</v>
      </c>
      <c r="G94" s="36">
        <f t="shared" si="8"/>
        <v>0</v>
      </c>
      <c r="H94" s="36"/>
      <c r="I94" s="36"/>
      <c r="J94" s="37">
        <f t="shared" si="9"/>
        <v>0</v>
      </c>
    </row>
    <row r="95" spans="1:10" x14ac:dyDescent="0.25">
      <c r="A95" s="49"/>
      <c r="B95" s="46"/>
      <c r="C95" s="46"/>
      <c r="D95" s="44"/>
      <c r="E95" s="45"/>
      <c r="F95" s="42">
        <v>0</v>
      </c>
      <c r="G95" s="36">
        <f t="shared" si="8"/>
        <v>0</v>
      </c>
      <c r="H95" s="36"/>
      <c r="I95" s="36"/>
      <c r="J95" s="37">
        <f t="shared" si="9"/>
        <v>0</v>
      </c>
    </row>
    <row r="96" spans="1:10" x14ac:dyDescent="0.25">
      <c r="A96" s="49"/>
      <c r="B96" s="46"/>
      <c r="C96" s="46"/>
      <c r="D96" s="44"/>
      <c r="E96" s="45"/>
      <c r="F96" s="42">
        <v>0</v>
      </c>
      <c r="G96" s="36">
        <f t="shared" si="8"/>
        <v>0</v>
      </c>
      <c r="H96" s="36"/>
      <c r="I96" s="36"/>
      <c r="J96" s="37">
        <f t="shared" si="9"/>
        <v>0</v>
      </c>
    </row>
    <row r="97" spans="1:10" x14ac:dyDescent="0.25">
      <c r="A97" s="49"/>
      <c r="B97" s="46"/>
      <c r="C97" s="46"/>
      <c r="D97" s="44"/>
      <c r="E97" s="45"/>
      <c r="F97" s="42">
        <v>0</v>
      </c>
      <c r="G97" s="36">
        <f t="shared" si="8"/>
        <v>0</v>
      </c>
      <c r="H97" s="36"/>
      <c r="I97" s="36"/>
      <c r="J97" s="37">
        <f t="shared" si="9"/>
        <v>0</v>
      </c>
    </row>
    <row r="98" spans="1:10" x14ac:dyDescent="0.25">
      <c r="A98" s="49"/>
      <c r="B98" s="46"/>
      <c r="C98" s="46"/>
      <c r="D98" s="44"/>
      <c r="E98" s="45"/>
      <c r="F98" s="42">
        <v>0</v>
      </c>
      <c r="G98" s="36">
        <f t="shared" si="8"/>
        <v>0</v>
      </c>
      <c r="H98" s="36"/>
      <c r="I98" s="36"/>
      <c r="J98" s="37">
        <f t="shared" si="9"/>
        <v>0</v>
      </c>
    </row>
    <row r="99" spans="1:10" x14ac:dyDescent="0.25">
      <c r="A99" s="49"/>
      <c r="B99" s="46"/>
      <c r="C99" s="46"/>
      <c r="D99" s="44"/>
      <c r="E99" s="45"/>
      <c r="F99" s="42">
        <v>0</v>
      </c>
      <c r="G99" s="36">
        <f t="shared" si="8"/>
        <v>0</v>
      </c>
      <c r="H99" s="36"/>
      <c r="I99" s="36"/>
      <c r="J99" s="37">
        <f t="shared" si="9"/>
        <v>0</v>
      </c>
    </row>
    <row r="100" spans="1:10" x14ac:dyDescent="0.25">
      <c r="A100" s="49"/>
      <c r="B100" s="46"/>
      <c r="C100" s="46"/>
      <c r="D100" s="44"/>
      <c r="E100" s="45"/>
      <c r="F100" s="42">
        <v>0</v>
      </c>
      <c r="G100" s="36">
        <f t="shared" si="8"/>
        <v>0</v>
      </c>
      <c r="H100" s="36"/>
      <c r="I100" s="36"/>
      <c r="J100" s="37">
        <f t="shared" si="9"/>
        <v>0</v>
      </c>
    </row>
    <row r="101" spans="1:10" x14ac:dyDescent="0.25">
      <c r="A101" s="49"/>
      <c r="B101" s="46"/>
      <c r="C101" s="46"/>
      <c r="D101" s="44"/>
      <c r="E101" s="45"/>
      <c r="F101" s="42">
        <v>0</v>
      </c>
      <c r="G101" s="36">
        <f t="shared" si="8"/>
        <v>0</v>
      </c>
      <c r="H101" s="36"/>
      <c r="I101" s="36"/>
      <c r="J101" s="37">
        <f t="shared" si="9"/>
        <v>0</v>
      </c>
    </row>
    <row r="102" spans="1:10" x14ac:dyDescent="0.25">
      <c r="A102" s="49"/>
      <c r="B102" s="46"/>
      <c r="C102" s="46"/>
      <c r="D102" s="44"/>
      <c r="E102" s="45"/>
      <c r="F102" s="42">
        <v>0</v>
      </c>
      <c r="G102" s="36">
        <f t="shared" si="8"/>
        <v>0</v>
      </c>
      <c r="H102" s="36"/>
      <c r="I102" s="36"/>
      <c r="J102" s="37">
        <f t="shared" si="9"/>
        <v>0</v>
      </c>
    </row>
    <row r="103" spans="1:10" x14ac:dyDescent="0.25">
      <c r="A103" s="49"/>
      <c r="B103" s="46"/>
      <c r="C103" s="46"/>
      <c r="D103" s="44"/>
      <c r="E103" s="45"/>
      <c r="F103" s="42">
        <v>0</v>
      </c>
      <c r="G103" s="36">
        <f t="shared" si="8"/>
        <v>0</v>
      </c>
      <c r="H103" s="36"/>
      <c r="I103" s="36"/>
      <c r="J103" s="37">
        <f t="shared" si="9"/>
        <v>0</v>
      </c>
    </row>
    <row r="104" spans="1:10" x14ac:dyDescent="0.25">
      <c r="A104" s="49"/>
      <c r="B104" s="46"/>
      <c r="C104" s="46"/>
      <c r="D104" s="44"/>
      <c r="E104" s="45"/>
      <c r="F104" s="42">
        <v>0</v>
      </c>
      <c r="G104" s="36">
        <f t="shared" si="8"/>
        <v>0</v>
      </c>
      <c r="H104" s="36"/>
      <c r="I104" s="36"/>
      <c r="J104" s="37">
        <f t="shared" si="9"/>
        <v>0</v>
      </c>
    </row>
    <row r="105" spans="1:10" x14ac:dyDescent="0.25">
      <c r="A105" s="49"/>
      <c r="B105" s="46"/>
      <c r="C105" s="46"/>
      <c r="D105" s="44"/>
      <c r="E105" s="45"/>
      <c r="F105" s="42">
        <v>0</v>
      </c>
      <c r="G105" s="36">
        <f t="shared" si="8"/>
        <v>0</v>
      </c>
      <c r="H105" s="36"/>
      <c r="I105" s="36"/>
      <c r="J105" s="37">
        <f t="shared" si="9"/>
        <v>0</v>
      </c>
    </row>
    <row r="106" spans="1:10" x14ac:dyDescent="0.25">
      <c r="A106" s="49"/>
      <c r="B106" s="46"/>
      <c r="C106" s="46"/>
      <c r="D106" s="44"/>
      <c r="E106" s="45"/>
      <c r="F106" s="42">
        <v>0</v>
      </c>
      <c r="G106" s="36">
        <f t="shared" si="8"/>
        <v>0</v>
      </c>
      <c r="H106" s="36"/>
      <c r="I106" s="36"/>
      <c r="J106" s="37">
        <f t="shared" si="9"/>
        <v>0</v>
      </c>
    </row>
    <row r="107" spans="1:10" x14ac:dyDescent="0.25">
      <c r="A107" s="49"/>
      <c r="B107" s="46"/>
      <c r="C107" s="46"/>
      <c r="D107" s="44"/>
      <c r="E107" s="45"/>
      <c r="F107" s="42">
        <v>0</v>
      </c>
      <c r="G107" s="36">
        <f t="shared" si="8"/>
        <v>0</v>
      </c>
      <c r="H107" s="36"/>
      <c r="I107" s="36"/>
      <c r="J107" s="37">
        <f t="shared" si="9"/>
        <v>0</v>
      </c>
    </row>
    <row r="108" spans="1:10" x14ac:dyDescent="0.25">
      <c r="A108" s="49"/>
      <c r="B108" s="46"/>
      <c r="C108" s="46"/>
      <c r="D108" s="44"/>
      <c r="E108" s="45"/>
      <c r="F108" s="42">
        <v>0</v>
      </c>
      <c r="G108" s="36">
        <f t="shared" si="8"/>
        <v>0</v>
      </c>
      <c r="H108" s="36"/>
      <c r="I108" s="36"/>
      <c r="J108" s="37">
        <f t="shared" si="9"/>
        <v>0</v>
      </c>
    </row>
    <row r="109" spans="1:10" x14ac:dyDescent="0.25">
      <c r="A109" s="49"/>
      <c r="B109" s="46"/>
      <c r="C109" s="46"/>
      <c r="D109" s="44"/>
      <c r="E109" s="45"/>
      <c r="F109" s="42">
        <v>0</v>
      </c>
      <c r="G109" s="36">
        <f t="shared" si="8"/>
        <v>0</v>
      </c>
      <c r="H109" s="36"/>
      <c r="I109" s="36"/>
      <c r="J109" s="37">
        <f t="shared" si="9"/>
        <v>0</v>
      </c>
    </row>
    <row r="110" spans="1:10" x14ac:dyDescent="0.25">
      <c r="A110" s="49"/>
      <c r="B110" s="46"/>
      <c r="C110" s="46"/>
      <c r="D110" s="44"/>
      <c r="E110" s="45"/>
      <c r="F110" s="42">
        <v>0</v>
      </c>
      <c r="G110" s="36">
        <f t="shared" si="8"/>
        <v>0</v>
      </c>
      <c r="H110" s="36"/>
      <c r="I110" s="36"/>
      <c r="J110" s="37">
        <f t="shared" si="9"/>
        <v>0</v>
      </c>
    </row>
    <row r="111" spans="1:10" x14ac:dyDescent="0.25">
      <c r="A111" s="49"/>
      <c r="B111" s="46"/>
      <c r="C111" s="46"/>
      <c r="D111" s="44"/>
      <c r="E111" s="45"/>
      <c r="F111" s="42">
        <v>0</v>
      </c>
      <c r="G111" s="36">
        <f t="shared" si="8"/>
        <v>0</v>
      </c>
      <c r="H111" s="36"/>
      <c r="I111" s="36"/>
      <c r="J111" s="37">
        <f t="shared" si="9"/>
        <v>0</v>
      </c>
    </row>
    <row r="112" spans="1:10" x14ac:dyDescent="0.25">
      <c r="A112" s="49"/>
      <c r="B112" s="46"/>
      <c r="C112" s="46"/>
      <c r="D112" s="44"/>
      <c r="E112" s="45"/>
      <c r="F112" s="42">
        <v>0</v>
      </c>
      <c r="G112" s="36">
        <f t="shared" si="8"/>
        <v>0</v>
      </c>
      <c r="H112" s="36"/>
      <c r="I112" s="36"/>
      <c r="J112" s="37">
        <f t="shared" si="9"/>
        <v>0</v>
      </c>
    </row>
    <row r="113" spans="1:10" x14ac:dyDescent="0.25">
      <c r="A113" s="49"/>
      <c r="B113" s="46"/>
      <c r="C113" s="46"/>
      <c r="D113" s="44"/>
      <c r="E113" s="45"/>
      <c r="F113" s="42">
        <v>0</v>
      </c>
      <c r="G113" s="36">
        <f t="shared" si="8"/>
        <v>0</v>
      </c>
      <c r="H113" s="36"/>
      <c r="I113" s="36"/>
      <c r="J113" s="37">
        <f t="shared" si="9"/>
        <v>0</v>
      </c>
    </row>
    <row r="114" spans="1:10" x14ac:dyDescent="0.25">
      <c r="A114" s="49"/>
      <c r="B114" s="46"/>
      <c r="C114" s="46"/>
      <c r="D114" s="44"/>
      <c r="E114" s="45"/>
      <c r="F114" s="42">
        <v>0</v>
      </c>
      <c r="G114" s="36">
        <f t="shared" si="8"/>
        <v>0</v>
      </c>
      <c r="H114" s="36"/>
      <c r="I114" s="36"/>
      <c r="J114" s="37">
        <f t="shared" si="9"/>
        <v>0</v>
      </c>
    </row>
    <row r="115" spans="1:10" x14ac:dyDescent="0.25">
      <c r="A115" s="49"/>
      <c r="B115" s="46"/>
      <c r="C115" s="46"/>
      <c r="D115" s="44"/>
      <c r="E115" s="45"/>
      <c r="F115" s="42">
        <v>0</v>
      </c>
      <c r="G115" s="36">
        <f t="shared" si="8"/>
        <v>0</v>
      </c>
      <c r="H115" s="36"/>
      <c r="I115" s="36"/>
      <c r="J115" s="37">
        <f t="shared" si="9"/>
        <v>0</v>
      </c>
    </row>
    <row r="116" spans="1:10" x14ac:dyDescent="0.25">
      <c r="A116" s="49"/>
      <c r="B116" s="46"/>
      <c r="C116" s="46"/>
      <c r="D116" s="44"/>
      <c r="E116" s="45"/>
      <c r="F116" s="42">
        <v>0</v>
      </c>
      <c r="G116" s="36">
        <f t="shared" si="8"/>
        <v>0</v>
      </c>
      <c r="H116" s="36"/>
      <c r="I116" s="36"/>
      <c r="J116" s="37">
        <f t="shared" si="9"/>
        <v>0</v>
      </c>
    </row>
    <row r="117" spans="1:10" x14ac:dyDescent="0.25">
      <c r="A117" s="49"/>
      <c r="B117" s="46"/>
      <c r="C117" s="46"/>
      <c r="D117" s="44"/>
      <c r="E117" s="45"/>
      <c r="F117" s="42">
        <v>0</v>
      </c>
      <c r="G117" s="36">
        <f t="shared" si="8"/>
        <v>0</v>
      </c>
      <c r="H117" s="36"/>
      <c r="I117" s="36"/>
      <c r="J117" s="37">
        <f t="shared" si="9"/>
        <v>0</v>
      </c>
    </row>
    <row r="118" spans="1:10" x14ac:dyDescent="0.25">
      <c r="A118" s="49"/>
      <c r="B118" s="46"/>
      <c r="C118" s="46"/>
      <c r="D118" s="44"/>
      <c r="E118" s="45"/>
      <c r="F118" s="42">
        <v>0</v>
      </c>
      <c r="G118" s="36">
        <f t="shared" si="8"/>
        <v>0</v>
      </c>
      <c r="H118" s="36"/>
      <c r="I118" s="36"/>
      <c r="J118" s="37">
        <f t="shared" si="9"/>
        <v>0</v>
      </c>
    </row>
    <row r="119" spans="1:10" x14ac:dyDescent="0.25">
      <c r="A119" s="49"/>
      <c r="B119" s="46"/>
      <c r="C119" s="46"/>
      <c r="D119" s="44"/>
      <c r="E119" s="45"/>
      <c r="F119" s="42">
        <v>0</v>
      </c>
      <c r="G119" s="36">
        <f t="shared" si="8"/>
        <v>0</v>
      </c>
      <c r="H119" s="36"/>
      <c r="I119" s="36"/>
      <c r="J119" s="37">
        <f t="shared" si="9"/>
        <v>0</v>
      </c>
    </row>
    <row r="120" spans="1:10" x14ac:dyDescent="0.25">
      <c r="A120" s="49"/>
      <c r="B120" s="46"/>
      <c r="C120" s="46"/>
      <c r="D120" s="44"/>
      <c r="E120" s="45"/>
      <c r="F120" s="42">
        <v>0</v>
      </c>
      <c r="G120" s="36">
        <f t="shared" si="8"/>
        <v>0</v>
      </c>
      <c r="H120" s="36"/>
      <c r="I120" s="36"/>
      <c r="J120" s="37">
        <f t="shared" si="9"/>
        <v>0</v>
      </c>
    </row>
    <row r="121" spans="1:10" x14ac:dyDescent="0.25">
      <c r="A121" s="49"/>
      <c r="B121" s="46"/>
      <c r="C121" s="46"/>
      <c r="D121" s="44"/>
      <c r="E121" s="45"/>
      <c r="F121" s="42">
        <v>0</v>
      </c>
      <c r="G121" s="36">
        <f t="shared" si="8"/>
        <v>0</v>
      </c>
      <c r="H121" s="36"/>
      <c r="I121" s="36"/>
      <c r="J121" s="37">
        <f t="shared" si="9"/>
        <v>0</v>
      </c>
    </row>
    <row r="122" spans="1:10" x14ac:dyDescent="0.25">
      <c r="A122" s="49"/>
      <c r="B122" s="46"/>
      <c r="C122" s="46"/>
      <c r="D122" s="44"/>
      <c r="E122" s="45"/>
      <c r="F122" s="42">
        <v>0</v>
      </c>
      <c r="G122" s="36">
        <f t="shared" si="8"/>
        <v>0</v>
      </c>
      <c r="H122" s="36"/>
      <c r="I122" s="36"/>
      <c r="J122" s="37">
        <f t="shared" si="9"/>
        <v>0</v>
      </c>
    </row>
    <row r="123" spans="1:10" x14ac:dyDescent="0.25">
      <c r="A123" s="49"/>
      <c r="B123" s="46"/>
      <c r="C123" s="46"/>
      <c r="D123" s="44"/>
      <c r="E123" s="45"/>
      <c r="F123" s="42">
        <v>0</v>
      </c>
      <c r="G123" s="36">
        <f t="shared" si="8"/>
        <v>0</v>
      </c>
      <c r="H123" s="36"/>
      <c r="I123" s="36"/>
      <c r="J123" s="37">
        <f>ROUND(E123+G123,)</f>
        <v>0</v>
      </c>
    </row>
    <row r="124" spans="1:10" x14ac:dyDescent="0.25">
      <c r="A124" s="49"/>
      <c r="B124" s="46"/>
      <c r="C124" s="46"/>
      <c r="D124" s="44"/>
      <c r="E124" s="45"/>
      <c r="F124" s="42">
        <v>0</v>
      </c>
      <c r="G124" s="36">
        <f t="shared" si="8"/>
        <v>0</v>
      </c>
      <c r="H124" s="36"/>
      <c r="I124" s="36"/>
      <c r="J124" s="37">
        <f t="shared" ref="J124:J187" si="10">ROUND(E124+G124,)</f>
        <v>0</v>
      </c>
    </row>
    <row r="125" spans="1:10" x14ac:dyDescent="0.25">
      <c r="A125" s="49"/>
      <c r="B125" s="46"/>
      <c r="C125" s="46"/>
      <c r="D125" s="44"/>
      <c r="E125" s="45"/>
      <c r="F125" s="42">
        <v>0</v>
      </c>
      <c r="G125" s="36">
        <f t="shared" si="8"/>
        <v>0</v>
      </c>
      <c r="H125" s="36"/>
      <c r="I125" s="36"/>
      <c r="J125" s="37">
        <f t="shared" si="10"/>
        <v>0</v>
      </c>
    </row>
    <row r="126" spans="1:10" x14ac:dyDescent="0.25">
      <c r="A126" s="49"/>
      <c r="B126" s="46"/>
      <c r="C126" s="46"/>
      <c r="D126" s="44"/>
      <c r="E126" s="45"/>
      <c r="F126" s="42">
        <v>0</v>
      </c>
      <c r="G126" s="36">
        <f t="shared" si="8"/>
        <v>0</v>
      </c>
      <c r="H126" s="36"/>
      <c r="I126" s="36"/>
      <c r="J126" s="37">
        <f t="shared" si="10"/>
        <v>0</v>
      </c>
    </row>
    <row r="127" spans="1:10" x14ac:dyDescent="0.25">
      <c r="A127" s="49"/>
      <c r="B127" s="46"/>
      <c r="C127" s="46"/>
      <c r="D127" s="44"/>
      <c r="E127" s="45"/>
      <c r="F127" s="42">
        <v>0</v>
      </c>
      <c r="G127" s="36">
        <f t="shared" si="8"/>
        <v>0</v>
      </c>
      <c r="H127" s="36"/>
      <c r="I127" s="36"/>
      <c r="J127" s="37">
        <f t="shared" si="10"/>
        <v>0</v>
      </c>
    </row>
    <row r="128" spans="1:10" x14ac:dyDescent="0.25">
      <c r="A128" s="49"/>
      <c r="B128" s="46"/>
      <c r="C128" s="46"/>
      <c r="D128" s="44"/>
      <c r="E128" s="45"/>
      <c r="F128" s="42">
        <v>0</v>
      </c>
      <c r="G128" s="36">
        <f t="shared" si="8"/>
        <v>0</v>
      </c>
      <c r="H128" s="36"/>
      <c r="I128" s="36"/>
      <c r="J128" s="37">
        <f t="shared" si="10"/>
        <v>0</v>
      </c>
    </row>
    <row r="129" spans="1:10" x14ac:dyDescent="0.25">
      <c r="A129" s="49"/>
      <c r="B129" s="46"/>
      <c r="C129" s="46"/>
      <c r="D129" s="44"/>
      <c r="E129" s="45"/>
      <c r="F129" s="42">
        <v>0</v>
      </c>
      <c r="G129" s="36">
        <f t="shared" si="8"/>
        <v>0</v>
      </c>
      <c r="H129" s="36"/>
      <c r="I129" s="36"/>
      <c r="J129" s="37">
        <f t="shared" si="10"/>
        <v>0</v>
      </c>
    </row>
    <row r="130" spans="1:10" x14ac:dyDescent="0.25">
      <c r="A130" s="49"/>
      <c r="B130" s="46"/>
      <c r="C130" s="46"/>
      <c r="D130" s="44"/>
      <c r="E130" s="45"/>
      <c r="F130" s="42">
        <v>0</v>
      </c>
      <c r="G130" s="36">
        <f t="shared" si="8"/>
        <v>0</v>
      </c>
      <c r="H130" s="36"/>
      <c r="I130" s="36"/>
      <c r="J130" s="37">
        <f t="shared" si="10"/>
        <v>0</v>
      </c>
    </row>
    <row r="131" spans="1:10" x14ac:dyDescent="0.25">
      <c r="A131" s="49"/>
      <c r="B131" s="46"/>
      <c r="C131" s="46"/>
      <c r="D131" s="44"/>
      <c r="E131" s="45"/>
      <c r="F131" s="42">
        <v>0</v>
      </c>
      <c r="G131" s="36">
        <f t="shared" si="8"/>
        <v>0</v>
      </c>
      <c r="H131" s="36"/>
      <c r="I131" s="36"/>
      <c r="J131" s="37">
        <f t="shared" si="10"/>
        <v>0</v>
      </c>
    </row>
    <row r="132" spans="1:10" x14ac:dyDescent="0.25">
      <c r="A132" s="49"/>
      <c r="B132" s="46"/>
      <c r="C132" s="46"/>
      <c r="D132" s="44"/>
      <c r="E132" s="45"/>
      <c r="F132" s="42">
        <v>0</v>
      </c>
      <c r="G132" s="36">
        <f t="shared" si="8"/>
        <v>0</v>
      </c>
      <c r="H132" s="36"/>
      <c r="I132" s="36"/>
      <c r="J132" s="37">
        <f t="shared" si="10"/>
        <v>0</v>
      </c>
    </row>
    <row r="133" spans="1:10" x14ac:dyDescent="0.25">
      <c r="A133" s="49"/>
      <c r="B133" s="46"/>
      <c r="C133" s="46"/>
      <c r="D133" s="44"/>
      <c r="E133" s="45"/>
      <c r="F133" s="42">
        <v>0</v>
      </c>
      <c r="G133" s="36">
        <f t="shared" si="8"/>
        <v>0</v>
      </c>
      <c r="H133" s="36"/>
      <c r="I133" s="36"/>
      <c r="J133" s="37">
        <f t="shared" si="10"/>
        <v>0</v>
      </c>
    </row>
    <row r="134" spans="1:10" x14ac:dyDescent="0.25">
      <c r="A134" s="49"/>
      <c r="B134" s="46"/>
      <c r="C134" s="46"/>
      <c r="D134" s="44"/>
      <c r="E134" s="45"/>
      <c r="F134" s="42">
        <v>0</v>
      </c>
      <c r="G134" s="36">
        <f t="shared" si="8"/>
        <v>0</v>
      </c>
      <c r="H134" s="36"/>
      <c r="I134" s="36"/>
      <c r="J134" s="37">
        <f t="shared" si="10"/>
        <v>0</v>
      </c>
    </row>
    <row r="135" spans="1:10" x14ac:dyDescent="0.25">
      <c r="A135" s="49"/>
      <c r="B135" s="46"/>
      <c r="C135" s="46"/>
      <c r="D135" s="44"/>
      <c r="E135" s="45"/>
      <c r="F135" s="42">
        <v>0</v>
      </c>
      <c r="G135" s="36">
        <f t="shared" si="8"/>
        <v>0</v>
      </c>
      <c r="H135" s="36"/>
      <c r="I135" s="36"/>
      <c r="J135" s="37">
        <f t="shared" si="10"/>
        <v>0</v>
      </c>
    </row>
    <row r="136" spans="1:10" x14ac:dyDescent="0.25">
      <c r="A136" s="49"/>
      <c r="B136" s="46"/>
      <c r="C136" s="46"/>
      <c r="D136" s="44"/>
      <c r="E136" s="45"/>
      <c r="F136" s="42">
        <v>0</v>
      </c>
      <c r="G136" s="36">
        <f t="shared" si="8"/>
        <v>0</v>
      </c>
      <c r="H136" s="36"/>
      <c r="I136" s="36"/>
      <c r="J136" s="37">
        <f t="shared" si="10"/>
        <v>0</v>
      </c>
    </row>
    <row r="137" spans="1:10" x14ac:dyDescent="0.25">
      <c r="A137" s="49"/>
      <c r="B137" s="46"/>
      <c r="C137" s="46"/>
      <c r="D137" s="44"/>
      <c r="E137" s="45"/>
      <c r="F137" s="42">
        <v>0</v>
      </c>
      <c r="G137" s="36">
        <f t="shared" si="8"/>
        <v>0</v>
      </c>
      <c r="H137" s="36"/>
      <c r="I137" s="36"/>
      <c r="J137" s="37">
        <f t="shared" si="10"/>
        <v>0</v>
      </c>
    </row>
    <row r="138" spans="1:10" x14ac:dyDescent="0.25">
      <c r="A138" s="49"/>
      <c r="B138" s="46"/>
      <c r="C138" s="46"/>
      <c r="D138" s="44"/>
      <c r="E138" s="45"/>
      <c r="F138" s="42">
        <v>0</v>
      </c>
      <c r="G138" s="36">
        <f t="shared" si="8"/>
        <v>0</v>
      </c>
      <c r="H138" s="36"/>
      <c r="I138" s="36"/>
      <c r="J138" s="37">
        <f t="shared" si="10"/>
        <v>0</v>
      </c>
    </row>
    <row r="139" spans="1:10" x14ac:dyDescent="0.25">
      <c r="A139" s="49"/>
      <c r="B139" s="46"/>
      <c r="C139" s="46"/>
      <c r="D139" s="44"/>
      <c r="E139" s="45"/>
      <c r="F139" s="42">
        <v>0</v>
      </c>
      <c r="G139" s="36">
        <f t="shared" ref="G139:G202" si="11">E139*F139%</f>
        <v>0</v>
      </c>
      <c r="H139" s="36"/>
      <c r="I139" s="36"/>
      <c r="J139" s="37">
        <f t="shared" si="10"/>
        <v>0</v>
      </c>
    </row>
    <row r="140" spans="1:10" x14ac:dyDescent="0.25">
      <c r="A140" s="49"/>
      <c r="B140" s="46"/>
      <c r="C140" s="46"/>
      <c r="D140" s="44"/>
      <c r="E140" s="45"/>
      <c r="F140" s="42">
        <v>0</v>
      </c>
      <c r="G140" s="36">
        <f t="shared" si="11"/>
        <v>0</v>
      </c>
      <c r="H140" s="36"/>
      <c r="I140" s="36"/>
      <c r="J140" s="37">
        <f t="shared" si="10"/>
        <v>0</v>
      </c>
    </row>
    <row r="141" spans="1:10" x14ac:dyDescent="0.25">
      <c r="A141" s="49"/>
      <c r="B141" s="46"/>
      <c r="C141" s="46"/>
      <c r="D141" s="44"/>
      <c r="E141" s="45"/>
      <c r="F141" s="42">
        <v>0</v>
      </c>
      <c r="G141" s="36">
        <f t="shared" si="11"/>
        <v>0</v>
      </c>
      <c r="H141" s="36"/>
      <c r="I141" s="36"/>
      <c r="J141" s="37">
        <f t="shared" si="10"/>
        <v>0</v>
      </c>
    </row>
    <row r="142" spans="1:10" x14ac:dyDescent="0.25">
      <c r="A142" s="49"/>
      <c r="B142" s="46"/>
      <c r="C142" s="46"/>
      <c r="D142" s="44"/>
      <c r="E142" s="45"/>
      <c r="F142" s="42">
        <v>0</v>
      </c>
      <c r="G142" s="36">
        <f t="shared" si="11"/>
        <v>0</v>
      </c>
      <c r="H142" s="36"/>
      <c r="I142" s="36"/>
      <c r="J142" s="37">
        <f t="shared" si="10"/>
        <v>0</v>
      </c>
    </row>
    <row r="143" spans="1:10" x14ac:dyDescent="0.25">
      <c r="A143" s="49"/>
      <c r="B143" s="46"/>
      <c r="C143" s="46"/>
      <c r="D143" s="44"/>
      <c r="E143" s="45"/>
      <c r="F143" s="42">
        <v>0</v>
      </c>
      <c r="G143" s="36">
        <f t="shared" si="11"/>
        <v>0</v>
      </c>
      <c r="H143" s="36"/>
      <c r="I143" s="36"/>
      <c r="J143" s="37">
        <f t="shared" si="10"/>
        <v>0</v>
      </c>
    </row>
    <row r="144" spans="1:10" x14ac:dyDescent="0.25">
      <c r="A144" s="49"/>
      <c r="B144" s="46"/>
      <c r="C144" s="46"/>
      <c r="D144" s="44"/>
      <c r="E144" s="45"/>
      <c r="F144" s="42">
        <v>0</v>
      </c>
      <c r="G144" s="36">
        <f t="shared" si="11"/>
        <v>0</v>
      </c>
      <c r="H144" s="36"/>
      <c r="I144" s="36"/>
      <c r="J144" s="37">
        <f t="shared" si="10"/>
        <v>0</v>
      </c>
    </row>
    <row r="145" spans="1:10" x14ac:dyDescent="0.25">
      <c r="A145" s="49"/>
      <c r="B145" s="46"/>
      <c r="C145" s="46"/>
      <c r="D145" s="44"/>
      <c r="E145" s="45"/>
      <c r="F145" s="42">
        <v>0</v>
      </c>
      <c r="G145" s="36">
        <f t="shared" si="11"/>
        <v>0</v>
      </c>
      <c r="H145" s="36"/>
      <c r="I145" s="36"/>
      <c r="J145" s="37">
        <f t="shared" si="10"/>
        <v>0</v>
      </c>
    </row>
    <row r="146" spans="1:10" x14ac:dyDescent="0.25">
      <c r="A146" s="49"/>
      <c r="B146" s="46"/>
      <c r="C146" s="46"/>
      <c r="D146" s="44"/>
      <c r="E146" s="45"/>
      <c r="F146" s="42">
        <v>0</v>
      </c>
      <c r="G146" s="36">
        <f t="shared" si="11"/>
        <v>0</v>
      </c>
      <c r="H146" s="36"/>
      <c r="I146" s="36"/>
      <c r="J146" s="37">
        <f t="shared" si="10"/>
        <v>0</v>
      </c>
    </row>
    <row r="147" spans="1:10" x14ac:dyDescent="0.25">
      <c r="A147" s="49"/>
      <c r="B147" s="46"/>
      <c r="C147" s="46"/>
      <c r="D147" s="44"/>
      <c r="E147" s="45"/>
      <c r="F147" s="42">
        <v>0</v>
      </c>
      <c r="G147" s="36">
        <f t="shared" si="11"/>
        <v>0</v>
      </c>
      <c r="H147" s="36"/>
      <c r="I147" s="36"/>
      <c r="J147" s="37">
        <f t="shared" si="10"/>
        <v>0</v>
      </c>
    </row>
    <row r="148" spans="1:10" x14ac:dyDescent="0.25">
      <c r="A148" s="49"/>
      <c r="B148" s="46"/>
      <c r="C148" s="46"/>
      <c r="D148" s="44"/>
      <c r="E148" s="45"/>
      <c r="F148" s="42">
        <v>0</v>
      </c>
      <c r="G148" s="36">
        <f t="shared" si="11"/>
        <v>0</v>
      </c>
      <c r="H148" s="36"/>
      <c r="I148" s="36"/>
      <c r="J148" s="37">
        <f t="shared" si="10"/>
        <v>0</v>
      </c>
    </row>
    <row r="149" spans="1:10" x14ac:dyDescent="0.25">
      <c r="A149" s="49"/>
      <c r="B149" s="46"/>
      <c r="C149" s="46"/>
      <c r="D149" s="44"/>
      <c r="E149" s="45"/>
      <c r="F149" s="42">
        <v>0</v>
      </c>
      <c r="G149" s="36">
        <f t="shared" si="11"/>
        <v>0</v>
      </c>
      <c r="H149" s="36"/>
      <c r="I149" s="36"/>
      <c r="J149" s="37">
        <f t="shared" si="10"/>
        <v>0</v>
      </c>
    </row>
    <row r="150" spans="1:10" x14ac:dyDescent="0.25">
      <c r="A150" s="49"/>
      <c r="B150" s="46"/>
      <c r="C150" s="46"/>
      <c r="D150" s="44"/>
      <c r="E150" s="45"/>
      <c r="F150" s="42">
        <v>0</v>
      </c>
      <c r="G150" s="36">
        <f t="shared" si="11"/>
        <v>0</v>
      </c>
      <c r="H150" s="36"/>
      <c r="I150" s="36"/>
      <c r="J150" s="37">
        <f t="shared" si="10"/>
        <v>0</v>
      </c>
    </row>
    <row r="151" spans="1:10" x14ac:dyDescent="0.25">
      <c r="A151" s="49"/>
      <c r="B151" s="46"/>
      <c r="C151" s="46"/>
      <c r="D151" s="44"/>
      <c r="E151" s="45"/>
      <c r="F151" s="42">
        <v>0</v>
      </c>
      <c r="G151" s="36">
        <f t="shared" si="11"/>
        <v>0</v>
      </c>
      <c r="H151" s="36"/>
      <c r="I151" s="36"/>
      <c r="J151" s="37">
        <f t="shared" si="10"/>
        <v>0</v>
      </c>
    </row>
    <row r="152" spans="1:10" x14ac:dyDescent="0.25">
      <c r="A152" s="49"/>
      <c r="B152" s="46"/>
      <c r="C152" s="46"/>
      <c r="D152" s="44"/>
      <c r="E152" s="45"/>
      <c r="F152" s="42">
        <v>0</v>
      </c>
      <c r="G152" s="36">
        <f t="shared" si="11"/>
        <v>0</v>
      </c>
      <c r="H152" s="36"/>
      <c r="I152" s="36"/>
      <c r="J152" s="37">
        <f t="shared" si="10"/>
        <v>0</v>
      </c>
    </row>
    <row r="153" spans="1:10" x14ac:dyDescent="0.25">
      <c r="A153" s="49"/>
      <c r="B153" s="46"/>
      <c r="C153" s="46"/>
      <c r="D153" s="44"/>
      <c r="E153" s="45"/>
      <c r="F153" s="42">
        <v>0</v>
      </c>
      <c r="G153" s="36">
        <f t="shared" si="11"/>
        <v>0</v>
      </c>
      <c r="H153" s="36"/>
      <c r="I153" s="36"/>
      <c r="J153" s="37">
        <f t="shared" si="10"/>
        <v>0</v>
      </c>
    </row>
    <row r="154" spans="1:10" x14ac:dyDescent="0.25">
      <c r="A154" s="49"/>
      <c r="B154" s="46"/>
      <c r="C154" s="46"/>
      <c r="D154" s="44"/>
      <c r="E154" s="45"/>
      <c r="F154" s="42">
        <v>0</v>
      </c>
      <c r="G154" s="36">
        <f t="shared" si="11"/>
        <v>0</v>
      </c>
      <c r="H154" s="36"/>
      <c r="I154" s="36"/>
      <c r="J154" s="37">
        <f t="shared" si="10"/>
        <v>0</v>
      </c>
    </row>
    <row r="155" spans="1:10" x14ac:dyDescent="0.25">
      <c r="A155" s="49"/>
      <c r="B155" s="46"/>
      <c r="C155" s="46"/>
      <c r="D155" s="44"/>
      <c r="E155" s="45"/>
      <c r="F155" s="42">
        <v>0</v>
      </c>
      <c r="G155" s="36">
        <f t="shared" si="11"/>
        <v>0</v>
      </c>
      <c r="H155" s="36"/>
      <c r="I155" s="36"/>
      <c r="J155" s="37">
        <f t="shared" si="10"/>
        <v>0</v>
      </c>
    </row>
    <row r="156" spans="1:10" x14ac:dyDescent="0.25">
      <c r="A156" s="49"/>
      <c r="B156" s="46"/>
      <c r="C156" s="46"/>
      <c r="D156" s="44"/>
      <c r="E156" s="45"/>
      <c r="F156" s="42">
        <v>0</v>
      </c>
      <c r="G156" s="36">
        <f t="shared" si="11"/>
        <v>0</v>
      </c>
      <c r="H156" s="36"/>
      <c r="I156" s="36"/>
      <c r="J156" s="37">
        <f t="shared" si="10"/>
        <v>0</v>
      </c>
    </row>
    <row r="157" spans="1:10" x14ac:dyDescent="0.25">
      <c r="A157" s="49"/>
      <c r="B157" s="46"/>
      <c r="C157" s="46"/>
      <c r="D157" s="44"/>
      <c r="E157" s="45"/>
      <c r="F157" s="42">
        <v>0</v>
      </c>
      <c r="G157" s="36">
        <f t="shared" si="11"/>
        <v>0</v>
      </c>
      <c r="H157" s="36"/>
      <c r="I157" s="36"/>
      <c r="J157" s="37">
        <f t="shared" si="10"/>
        <v>0</v>
      </c>
    </row>
    <row r="158" spans="1:10" x14ac:dyDescent="0.25">
      <c r="A158" s="49"/>
      <c r="B158" s="46"/>
      <c r="C158" s="46"/>
      <c r="D158" s="44"/>
      <c r="E158" s="45"/>
      <c r="F158" s="42">
        <v>0</v>
      </c>
      <c r="G158" s="36">
        <f t="shared" si="11"/>
        <v>0</v>
      </c>
      <c r="H158" s="36"/>
      <c r="I158" s="36"/>
      <c r="J158" s="37">
        <f t="shared" si="10"/>
        <v>0</v>
      </c>
    </row>
    <row r="159" spans="1:10" x14ac:dyDescent="0.25">
      <c r="A159" s="49"/>
      <c r="B159" s="46"/>
      <c r="C159" s="46"/>
      <c r="D159" s="44"/>
      <c r="E159" s="45"/>
      <c r="F159" s="42">
        <v>0</v>
      </c>
      <c r="G159" s="36">
        <f t="shared" si="11"/>
        <v>0</v>
      </c>
      <c r="H159" s="36"/>
      <c r="I159" s="36"/>
      <c r="J159" s="37">
        <f t="shared" si="10"/>
        <v>0</v>
      </c>
    </row>
    <row r="160" spans="1:10" x14ac:dyDescent="0.25">
      <c r="A160" s="49"/>
      <c r="B160" s="46"/>
      <c r="C160" s="46"/>
      <c r="D160" s="44"/>
      <c r="E160" s="45"/>
      <c r="F160" s="42">
        <v>0</v>
      </c>
      <c r="G160" s="36">
        <f t="shared" si="11"/>
        <v>0</v>
      </c>
      <c r="H160" s="36"/>
      <c r="I160" s="36"/>
      <c r="J160" s="37">
        <f t="shared" si="10"/>
        <v>0</v>
      </c>
    </row>
    <row r="161" spans="1:10" x14ac:dyDescent="0.25">
      <c r="A161" s="49"/>
      <c r="B161" s="46"/>
      <c r="C161" s="46"/>
      <c r="D161" s="44"/>
      <c r="E161" s="45"/>
      <c r="F161" s="42">
        <v>0</v>
      </c>
      <c r="G161" s="36">
        <f t="shared" si="11"/>
        <v>0</v>
      </c>
      <c r="H161" s="36"/>
      <c r="I161" s="36"/>
      <c r="J161" s="37">
        <f t="shared" si="10"/>
        <v>0</v>
      </c>
    </row>
    <row r="162" spans="1:10" x14ac:dyDescent="0.25">
      <c r="A162" s="49"/>
      <c r="B162" s="46"/>
      <c r="C162" s="46"/>
      <c r="D162" s="44"/>
      <c r="E162" s="45"/>
      <c r="F162" s="42">
        <v>0</v>
      </c>
      <c r="G162" s="36">
        <f t="shared" si="11"/>
        <v>0</v>
      </c>
      <c r="H162" s="36"/>
      <c r="I162" s="36"/>
      <c r="J162" s="37">
        <f t="shared" si="10"/>
        <v>0</v>
      </c>
    </row>
    <row r="163" spans="1:10" x14ac:dyDescent="0.25">
      <c r="A163" s="49"/>
      <c r="B163" s="46"/>
      <c r="C163" s="46"/>
      <c r="D163" s="44"/>
      <c r="E163" s="45"/>
      <c r="F163" s="42">
        <v>0</v>
      </c>
      <c r="G163" s="36">
        <f t="shared" si="11"/>
        <v>0</v>
      </c>
      <c r="H163" s="36"/>
      <c r="I163" s="36"/>
      <c r="J163" s="37">
        <f t="shared" si="10"/>
        <v>0</v>
      </c>
    </row>
    <row r="164" spans="1:10" x14ac:dyDescent="0.25">
      <c r="A164" s="49"/>
      <c r="B164" s="46"/>
      <c r="C164" s="46"/>
      <c r="D164" s="44"/>
      <c r="E164" s="45"/>
      <c r="F164" s="42">
        <v>0</v>
      </c>
      <c r="G164" s="36">
        <f t="shared" si="11"/>
        <v>0</v>
      </c>
      <c r="H164" s="36"/>
      <c r="I164" s="36"/>
      <c r="J164" s="37">
        <f t="shared" si="10"/>
        <v>0</v>
      </c>
    </row>
    <row r="165" spans="1:10" x14ac:dyDescent="0.25">
      <c r="A165" s="49"/>
      <c r="B165" s="46"/>
      <c r="C165" s="46"/>
      <c r="D165" s="44"/>
      <c r="E165" s="45"/>
      <c r="F165" s="42">
        <v>0</v>
      </c>
      <c r="G165" s="36">
        <f t="shared" si="11"/>
        <v>0</v>
      </c>
      <c r="H165" s="36"/>
      <c r="I165" s="36"/>
      <c r="J165" s="37">
        <f t="shared" si="10"/>
        <v>0</v>
      </c>
    </row>
    <row r="166" spans="1:10" x14ac:dyDescent="0.25">
      <c r="A166" s="49"/>
      <c r="B166" s="46"/>
      <c r="C166" s="46"/>
      <c r="D166" s="44"/>
      <c r="E166" s="45"/>
      <c r="F166" s="42">
        <v>0</v>
      </c>
      <c r="G166" s="36">
        <f t="shared" si="11"/>
        <v>0</v>
      </c>
      <c r="H166" s="36"/>
      <c r="I166" s="36"/>
      <c r="J166" s="37">
        <f t="shared" si="10"/>
        <v>0</v>
      </c>
    </row>
    <row r="167" spans="1:10" x14ac:dyDescent="0.25">
      <c r="A167" s="49"/>
      <c r="B167" s="46"/>
      <c r="C167" s="46"/>
      <c r="D167" s="44"/>
      <c r="E167" s="45"/>
      <c r="F167" s="42">
        <v>0</v>
      </c>
      <c r="G167" s="36">
        <f t="shared" si="11"/>
        <v>0</v>
      </c>
      <c r="H167" s="36"/>
      <c r="I167" s="36"/>
      <c r="J167" s="37">
        <f t="shared" si="10"/>
        <v>0</v>
      </c>
    </row>
    <row r="168" spans="1:10" x14ac:dyDescent="0.25">
      <c r="A168" s="49"/>
      <c r="B168" s="46"/>
      <c r="C168" s="46"/>
      <c r="D168" s="44"/>
      <c r="E168" s="45"/>
      <c r="F168" s="42">
        <v>0</v>
      </c>
      <c r="G168" s="36">
        <f t="shared" si="11"/>
        <v>0</v>
      </c>
      <c r="H168" s="36"/>
      <c r="I168" s="36"/>
      <c r="J168" s="37">
        <f t="shared" si="10"/>
        <v>0</v>
      </c>
    </row>
    <row r="169" spans="1:10" x14ac:dyDescent="0.25">
      <c r="A169" s="49"/>
      <c r="B169" s="46"/>
      <c r="C169" s="46"/>
      <c r="D169" s="44"/>
      <c r="E169" s="45"/>
      <c r="F169" s="42">
        <v>0</v>
      </c>
      <c r="G169" s="36">
        <f t="shared" si="11"/>
        <v>0</v>
      </c>
      <c r="H169" s="36"/>
      <c r="I169" s="36"/>
      <c r="J169" s="37">
        <f t="shared" si="10"/>
        <v>0</v>
      </c>
    </row>
    <row r="170" spans="1:10" x14ac:dyDescent="0.25">
      <c r="A170" s="49"/>
      <c r="B170" s="46"/>
      <c r="C170" s="46"/>
      <c r="D170" s="44"/>
      <c r="E170" s="45"/>
      <c r="F170" s="42">
        <v>0</v>
      </c>
      <c r="G170" s="36">
        <f t="shared" si="11"/>
        <v>0</v>
      </c>
      <c r="H170" s="36"/>
      <c r="I170" s="36"/>
      <c r="J170" s="37">
        <f t="shared" si="10"/>
        <v>0</v>
      </c>
    </row>
    <row r="171" spans="1:10" x14ac:dyDescent="0.25">
      <c r="A171" s="49"/>
      <c r="B171" s="46"/>
      <c r="C171" s="46"/>
      <c r="D171" s="44"/>
      <c r="E171" s="45"/>
      <c r="F171" s="42">
        <v>0</v>
      </c>
      <c r="G171" s="36">
        <f t="shared" si="11"/>
        <v>0</v>
      </c>
      <c r="H171" s="36"/>
      <c r="I171" s="36"/>
      <c r="J171" s="37">
        <f t="shared" si="10"/>
        <v>0</v>
      </c>
    </row>
    <row r="172" spans="1:10" x14ac:dyDescent="0.25">
      <c r="A172" s="49"/>
      <c r="B172" s="46"/>
      <c r="C172" s="46"/>
      <c r="D172" s="44"/>
      <c r="E172" s="45"/>
      <c r="F172" s="42">
        <v>0</v>
      </c>
      <c r="G172" s="36">
        <f t="shared" si="11"/>
        <v>0</v>
      </c>
      <c r="H172" s="36"/>
      <c r="I172" s="36"/>
      <c r="J172" s="37">
        <f t="shared" si="10"/>
        <v>0</v>
      </c>
    </row>
    <row r="173" spans="1:10" x14ac:dyDescent="0.25">
      <c r="A173" s="49"/>
      <c r="B173" s="46"/>
      <c r="C173" s="46"/>
      <c r="D173" s="44"/>
      <c r="E173" s="45"/>
      <c r="F173" s="42">
        <v>0</v>
      </c>
      <c r="G173" s="36">
        <f t="shared" si="11"/>
        <v>0</v>
      </c>
      <c r="H173" s="36"/>
      <c r="I173" s="36"/>
      <c r="J173" s="37">
        <f t="shared" si="10"/>
        <v>0</v>
      </c>
    </row>
    <row r="174" spans="1:10" x14ac:dyDescent="0.25">
      <c r="A174" s="49"/>
      <c r="B174" s="46"/>
      <c r="C174" s="46"/>
      <c r="D174" s="44"/>
      <c r="E174" s="45"/>
      <c r="F174" s="42">
        <v>0</v>
      </c>
      <c r="G174" s="36">
        <f t="shared" si="11"/>
        <v>0</v>
      </c>
      <c r="H174" s="36"/>
      <c r="I174" s="36"/>
      <c r="J174" s="37">
        <f t="shared" si="10"/>
        <v>0</v>
      </c>
    </row>
    <row r="175" spans="1:10" x14ac:dyDescent="0.25">
      <c r="A175" s="49"/>
      <c r="B175" s="46"/>
      <c r="C175" s="46"/>
      <c r="D175" s="44"/>
      <c r="E175" s="45"/>
      <c r="F175" s="42">
        <v>0</v>
      </c>
      <c r="G175" s="36">
        <f t="shared" si="11"/>
        <v>0</v>
      </c>
      <c r="H175" s="36"/>
      <c r="I175" s="36"/>
      <c r="J175" s="37">
        <f t="shared" si="10"/>
        <v>0</v>
      </c>
    </row>
    <row r="176" spans="1:10" x14ac:dyDescent="0.25">
      <c r="A176" s="49"/>
      <c r="B176" s="46"/>
      <c r="C176" s="46"/>
      <c r="D176" s="44"/>
      <c r="E176" s="45"/>
      <c r="F176" s="42">
        <v>0</v>
      </c>
      <c r="G176" s="36">
        <f t="shared" si="11"/>
        <v>0</v>
      </c>
      <c r="H176" s="36"/>
      <c r="I176" s="36"/>
      <c r="J176" s="37">
        <f t="shared" si="10"/>
        <v>0</v>
      </c>
    </row>
    <row r="177" spans="1:10" x14ac:dyDescent="0.25">
      <c r="A177" s="49"/>
      <c r="B177" s="46"/>
      <c r="C177" s="46"/>
      <c r="D177" s="44"/>
      <c r="E177" s="45"/>
      <c r="F177" s="42">
        <v>0</v>
      </c>
      <c r="G177" s="36">
        <f t="shared" si="11"/>
        <v>0</v>
      </c>
      <c r="H177" s="36"/>
      <c r="I177" s="36"/>
      <c r="J177" s="37">
        <f t="shared" si="10"/>
        <v>0</v>
      </c>
    </row>
    <row r="178" spans="1:10" x14ac:dyDescent="0.25">
      <c r="A178" s="49"/>
      <c r="B178" s="46"/>
      <c r="C178" s="46"/>
      <c r="D178" s="44"/>
      <c r="E178" s="45"/>
      <c r="F178" s="42">
        <v>0</v>
      </c>
      <c r="G178" s="36">
        <f t="shared" si="11"/>
        <v>0</v>
      </c>
      <c r="H178" s="36"/>
      <c r="I178" s="36"/>
      <c r="J178" s="37">
        <f t="shared" si="10"/>
        <v>0</v>
      </c>
    </row>
    <row r="179" spans="1:10" x14ac:dyDescent="0.25">
      <c r="A179" s="49"/>
      <c r="B179" s="46"/>
      <c r="C179" s="46"/>
      <c r="D179" s="44"/>
      <c r="E179" s="45"/>
      <c r="F179" s="42">
        <v>0</v>
      </c>
      <c r="G179" s="36">
        <f t="shared" si="11"/>
        <v>0</v>
      </c>
      <c r="H179" s="36"/>
      <c r="I179" s="36"/>
      <c r="J179" s="37">
        <f t="shared" si="10"/>
        <v>0</v>
      </c>
    </row>
    <row r="180" spans="1:10" x14ac:dyDescent="0.25">
      <c r="A180" s="49"/>
      <c r="B180" s="46"/>
      <c r="C180" s="46"/>
      <c r="D180" s="44"/>
      <c r="E180" s="45"/>
      <c r="F180" s="42">
        <v>0</v>
      </c>
      <c r="G180" s="36">
        <f t="shared" si="11"/>
        <v>0</v>
      </c>
      <c r="H180" s="36"/>
      <c r="I180" s="36"/>
      <c r="J180" s="37">
        <f t="shared" si="10"/>
        <v>0</v>
      </c>
    </row>
    <row r="181" spans="1:10" x14ac:dyDescent="0.25">
      <c r="A181" s="49"/>
      <c r="B181" s="46"/>
      <c r="C181" s="46"/>
      <c r="D181" s="44"/>
      <c r="E181" s="45"/>
      <c r="F181" s="42">
        <v>0</v>
      </c>
      <c r="G181" s="36">
        <f t="shared" si="11"/>
        <v>0</v>
      </c>
      <c r="H181" s="36"/>
      <c r="I181" s="36"/>
      <c r="J181" s="37">
        <f t="shared" si="10"/>
        <v>0</v>
      </c>
    </row>
    <row r="182" spans="1:10" x14ac:dyDescent="0.25">
      <c r="A182" s="49"/>
      <c r="B182" s="46"/>
      <c r="C182" s="46"/>
      <c r="D182" s="44"/>
      <c r="E182" s="45"/>
      <c r="F182" s="42">
        <v>0</v>
      </c>
      <c r="G182" s="36">
        <f t="shared" si="11"/>
        <v>0</v>
      </c>
      <c r="H182" s="36"/>
      <c r="I182" s="36"/>
      <c r="J182" s="37">
        <f t="shared" si="10"/>
        <v>0</v>
      </c>
    </row>
    <row r="183" spans="1:10" x14ac:dyDescent="0.25">
      <c r="A183" s="49"/>
      <c r="B183" s="46"/>
      <c r="C183" s="46"/>
      <c r="D183" s="44"/>
      <c r="E183" s="45"/>
      <c r="F183" s="42">
        <v>0</v>
      </c>
      <c r="G183" s="36">
        <f t="shared" si="11"/>
        <v>0</v>
      </c>
      <c r="H183" s="36"/>
      <c r="I183" s="36"/>
      <c r="J183" s="37">
        <f t="shared" si="10"/>
        <v>0</v>
      </c>
    </row>
    <row r="184" spans="1:10" x14ac:dyDescent="0.25">
      <c r="A184" s="49"/>
      <c r="B184" s="46"/>
      <c r="C184" s="46"/>
      <c r="D184" s="44"/>
      <c r="E184" s="45"/>
      <c r="F184" s="42">
        <v>0</v>
      </c>
      <c r="G184" s="36">
        <f t="shared" si="11"/>
        <v>0</v>
      </c>
      <c r="H184" s="36"/>
      <c r="I184" s="36"/>
      <c r="J184" s="37">
        <f t="shared" si="10"/>
        <v>0</v>
      </c>
    </row>
    <row r="185" spans="1:10" x14ac:dyDescent="0.25">
      <c r="A185" s="49"/>
      <c r="B185" s="46"/>
      <c r="C185" s="46"/>
      <c r="D185" s="44"/>
      <c r="E185" s="45"/>
      <c r="F185" s="42">
        <v>0</v>
      </c>
      <c r="G185" s="36">
        <f t="shared" si="11"/>
        <v>0</v>
      </c>
      <c r="H185" s="36"/>
      <c r="I185" s="36"/>
      <c r="J185" s="37">
        <f t="shared" si="10"/>
        <v>0</v>
      </c>
    </row>
    <row r="186" spans="1:10" x14ac:dyDescent="0.25">
      <c r="A186" s="49"/>
      <c r="B186" s="46"/>
      <c r="C186" s="46"/>
      <c r="D186" s="44"/>
      <c r="E186" s="45"/>
      <c r="F186" s="42">
        <v>0</v>
      </c>
      <c r="G186" s="36">
        <f t="shared" si="11"/>
        <v>0</v>
      </c>
      <c r="H186" s="36"/>
      <c r="I186" s="36"/>
      <c r="J186" s="37">
        <f t="shared" si="10"/>
        <v>0</v>
      </c>
    </row>
    <row r="187" spans="1:10" x14ac:dyDescent="0.25">
      <c r="A187" s="49"/>
      <c r="B187" s="46"/>
      <c r="C187" s="46"/>
      <c r="D187" s="44"/>
      <c r="E187" s="45"/>
      <c r="F187" s="42">
        <v>0</v>
      </c>
      <c r="G187" s="36">
        <f t="shared" si="11"/>
        <v>0</v>
      </c>
      <c r="H187" s="36"/>
      <c r="I187" s="36"/>
      <c r="J187" s="37">
        <f t="shared" si="10"/>
        <v>0</v>
      </c>
    </row>
    <row r="188" spans="1:10" x14ac:dyDescent="0.25">
      <c r="A188" s="49"/>
      <c r="B188" s="46"/>
      <c r="C188" s="46"/>
      <c r="D188" s="44"/>
      <c r="E188" s="45"/>
      <c r="F188" s="42">
        <v>0</v>
      </c>
      <c r="G188" s="36">
        <f t="shared" si="11"/>
        <v>0</v>
      </c>
      <c r="H188" s="36"/>
      <c r="I188" s="36"/>
      <c r="J188" s="37">
        <f t="shared" ref="J188:J239" si="12">ROUND(E188+G188,)</f>
        <v>0</v>
      </c>
    </row>
    <row r="189" spans="1:10" x14ac:dyDescent="0.25">
      <c r="A189" s="49"/>
      <c r="B189" s="46"/>
      <c r="C189" s="46"/>
      <c r="D189" s="44"/>
      <c r="E189" s="45"/>
      <c r="F189" s="42">
        <v>0</v>
      </c>
      <c r="G189" s="36">
        <f t="shared" si="11"/>
        <v>0</v>
      </c>
      <c r="H189" s="36"/>
      <c r="I189" s="36"/>
      <c r="J189" s="37">
        <f t="shared" si="12"/>
        <v>0</v>
      </c>
    </row>
    <row r="190" spans="1:10" x14ac:dyDescent="0.25">
      <c r="A190" s="49"/>
      <c r="B190" s="46"/>
      <c r="C190" s="46"/>
      <c r="D190" s="44"/>
      <c r="E190" s="45"/>
      <c r="F190" s="42">
        <v>0</v>
      </c>
      <c r="G190" s="36">
        <f t="shared" si="11"/>
        <v>0</v>
      </c>
      <c r="H190" s="36"/>
      <c r="I190" s="36"/>
      <c r="J190" s="37">
        <f t="shared" si="12"/>
        <v>0</v>
      </c>
    </row>
    <row r="191" spans="1:10" x14ac:dyDescent="0.25">
      <c r="A191" s="49"/>
      <c r="B191" s="46"/>
      <c r="C191" s="46"/>
      <c r="D191" s="44"/>
      <c r="E191" s="45"/>
      <c r="F191" s="42">
        <v>0</v>
      </c>
      <c r="G191" s="36">
        <f t="shared" si="11"/>
        <v>0</v>
      </c>
      <c r="H191" s="36"/>
      <c r="I191" s="36"/>
      <c r="J191" s="37">
        <f t="shared" si="12"/>
        <v>0</v>
      </c>
    </row>
    <row r="192" spans="1:10" x14ac:dyDescent="0.25">
      <c r="A192" s="49"/>
      <c r="B192" s="46"/>
      <c r="C192" s="46"/>
      <c r="D192" s="44"/>
      <c r="E192" s="45"/>
      <c r="F192" s="42">
        <v>0</v>
      </c>
      <c r="G192" s="36">
        <f t="shared" si="11"/>
        <v>0</v>
      </c>
      <c r="H192" s="36"/>
      <c r="I192" s="36"/>
      <c r="J192" s="37">
        <f t="shared" si="12"/>
        <v>0</v>
      </c>
    </row>
    <row r="193" spans="1:10" x14ac:dyDescent="0.25">
      <c r="A193" s="49"/>
      <c r="B193" s="46"/>
      <c r="C193" s="46"/>
      <c r="D193" s="44"/>
      <c r="E193" s="45"/>
      <c r="F193" s="42">
        <v>0</v>
      </c>
      <c r="G193" s="36">
        <f t="shared" si="11"/>
        <v>0</v>
      </c>
      <c r="H193" s="36"/>
      <c r="I193" s="36"/>
      <c r="J193" s="37">
        <f t="shared" si="12"/>
        <v>0</v>
      </c>
    </row>
    <row r="194" spans="1:10" x14ac:dyDescent="0.25">
      <c r="A194" s="49"/>
      <c r="B194" s="46"/>
      <c r="C194" s="46"/>
      <c r="D194" s="44"/>
      <c r="E194" s="45"/>
      <c r="F194" s="42">
        <v>0</v>
      </c>
      <c r="G194" s="36">
        <f t="shared" si="11"/>
        <v>0</v>
      </c>
      <c r="H194" s="36"/>
      <c r="I194" s="36"/>
      <c r="J194" s="37">
        <f t="shared" si="12"/>
        <v>0</v>
      </c>
    </row>
    <row r="195" spans="1:10" x14ac:dyDescent="0.25">
      <c r="A195" s="49"/>
      <c r="B195" s="46"/>
      <c r="C195" s="46"/>
      <c r="D195" s="44"/>
      <c r="E195" s="45"/>
      <c r="F195" s="42">
        <v>0</v>
      </c>
      <c r="G195" s="36">
        <f t="shared" si="11"/>
        <v>0</v>
      </c>
      <c r="H195" s="36"/>
      <c r="I195" s="36"/>
      <c r="J195" s="37">
        <f t="shared" si="12"/>
        <v>0</v>
      </c>
    </row>
    <row r="196" spans="1:10" x14ac:dyDescent="0.25">
      <c r="A196" s="49"/>
      <c r="B196" s="46"/>
      <c r="C196" s="46"/>
      <c r="D196" s="44"/>
      <c r="E196" s="45"/>
      <c r="F196" s="42">
        <v>0</v>
      </c>
      <c r="G196" s="36">
        <f t="shared" si="11"/>
        <v>0</v>
      </c>
      <c r="H196" s="36"/>
      <c r="I196" s="36"/>
      <c r="J196" s="37">
        <f t="shared" si="12"/>
        <v>0</v>
      </c>
    </row>
    <row r="197" spans="1:10" x14ac:dyDescent="0.25">
      <c r="A197" s="49"/>
      <c r="B197" s="46"/>
      <c r="C197" s="46"/>
      <c r="D197" s="44"/>
      <c r="E197" s="45"/>
      <c r="F197" s="42">
        <v>0</v>
      </c>
      <c r="G197" s="36">
        <f t="shared" si="11"/>
        <v>0</v>
      </c>
      <c r="H197" s="36"/>
      <c r="I197" s="36"/>
      <c r="J197" s="37">
        <f t="shared" si="12"/>
        <v>0</v>
      </c>
    </row>
    <row r="198" spans="1:10" x14ac:dyDescent="0.25">
      <c r="A198" s="49"/>
      <c r="B198" s="46"/>
      <c r="C198" s="46"/>
      <c r="D198" s="44"/>
      <c r="E198" s="45"/>
      <c r="F198" s="42">
        <v>0</v>
      </c>
      <c r="G198" s="36">
        <f t="shared" si="11"/>
        <v>0</v>
      </c>
      <c r="H198" s="36"/>
      <c r="I198" s="36"/>
      <c r="J198" s="37">
        <f t="shared" si="12"/>
        <v>0</v>
      </c>
    </row>
    <row r="199" spans="1:10" x14ac:dyDescent="0.25">
      <c r="A199" s="49"/>
      <c r="B199" s="46"/>
      <c r="C199" s="46"/>
      <c r="D199" s="44"/>
      <c r="E199" s="45"/>
      <c r="F199" s="42">
        <v>0</v>
      </c>
      <c r="G199" s="36">
        <f t="shared" si="11"/>
        <v>0</v>
      </c>
      <c r="H199" s="36"/>
      <c r="I199" s="36"/>
      <c r="J199" s="37">
        <f t="shared" si="12"/>
        <v>0</v>
      </c>
    </row>
    <row r="200" spans="1:10" x14ac:dyDescent="0.25">
      <c r="A200" s="49"/>
      <c r="B200" s="46"/>
      <c r="C200" s="46"/>
      <c r="D200" s="44"/>
      <c r="E200" s="45"/>
      <c r="F200" s="42">
        <v>0</v>
      </c>
      <c r="G200" s="36">
        <f t="shared" si="11"/>
        <v>0</v>
      </c>
      <c r="H200" s="36"/>
      <c r="I200" s="36"/>
      <c r="J200" s="37">
        <f t="shared" si="12"/>
        <v>0</v>
      </c>
    </row>
    <row r="201" spans="1:10" x14ac:dyDescent="0.25">
      <c r="A201" s="49"/>
      <c r="B201" s="46"/>
      <c r="C201" s="46"/>
      <c r="D201" s="44"/>
      <c r="E201" s="45"/>
      <c r="F201" s="42">
        <v>0</v>
      </c>
      <c r="G201" s="36">
        <f t="shared" si="11"/>
        <v>0</v>
      </c>
      <c r="H201" s="36"/>
      <c r="I201" s="36"/>
      <c r="J201" s="37">
        <f t="shared" si="12"/>
        <v>0</v>
      </c>
    </row>
    <row r="202" spans="1:10" x14ac:dyDescent="0.25">
      <c r="A202" s="49"/>
      <c r="B202" s="46"/>
      <c r="C202" s="46"/>
      <c r="D202" s="44"/>
      <c r="E202" s="45"/>
      <c r="F202" s="42">
        <v>0</v>
      </c>
      <c r="G202" s="36">
        <f t="shared" si="11"/>
        <v>0</v>
      </c>
      <c r="H202" s="36"/>
      <c r="I202" s="36"/>
      <c r="J202" s="37">
        <f t="shared" si="12"/>
        <v>0</v>
      </c>
    </row>
    <row r="203" spans="1:10" x14ac:dyDescent="0.25">
      <c r="A203" s="50"/>
      <c r="B203" s="46"/>
      <c r="C203" s="46"/>
      <c r="D203" s="44"/>
      <c r="E203" s="45"/>
      <c r="F203" s="42">
        <v>0</v>
      </c>
      <c r="G203" s="36">
        <f t="shared" ref="G203:G239" si="13">E203*F203%</f>
        <v>0</v>
      </c>
      <c r="H203" s="36"/>
      <c r="I203" s="36"/>
      <c r="J203" s="37">
        <f t="shared" si="12"/>
        <v>0</v>
      </c>
    </row>
    <row r="204" spans="1:10" x14ac:dyDescent="0.25">
      <c r="A204" s="50"/>
      <c r="B204" s="46"/>
      <c r="C204" s="46"/>
      <c r="D204" s="44"/>
      <c r="E204" s="45"/>
      <c r="F204" s="42">
        <v>0</v>
      </c>
      <c r="G204" s="36">
        <f t="shared" si="13"/>
        <v>0</v>
      </c>
      <c r="H204" s="36"/>
      <c r="I204" s="36"/>
      <c r="J204" s="37">
        <f t="shared" si="12"/>
        <v>0</v>
      </c>
    </row>
    <row r="205" spans="1:10" x14ac:dyDescent="0.25">
      <c r="A205" s="50"/>
      <c r="B205" s="46"/>
      <c r="C205" s="46"/>
      <c r="D205" s="44"/>
      <c r="E205" s="45"/>
      <c r="F205" s="42">
        <v>0</v>
      </c>
      <c r="G205" s="36">
        <f t="shared" si="13"/>
        <v>0</v>
      </c>
      <c r="H205" s="36"/>
      <c r="I205" s="36"/>
      <c r="J205" s="37">
        <f t="shared" si="12"/>
        <v>0</v>
      </c>
    </row>
    <row r="206" spans="1:10" x14ac:dyDescent="0.25">
      <c r="A206" s="50"/>
      <c r="B206" s="46"/>
      <c r="C206" s="46"/>
      <c r="D206" s="44"/>
      <c r="E206" s="45"/>
      <c r="F206" s="42">
        <v>0</v>
      </c>
      <c r="G206" s="36">
        <f t="shared" si="13"/>
        <v>0</v>
      </c>
      <c r="H206" s="36"/>
      <c r="I206" s="36"/>
      <c r="J206" s="37">
        <f t="shared" si="12"/>
        <v>0</v>
      </c>
    </row>
    <row r="207" spans="1:10" x14ac:dyDescent="0.25">
      <c r="A207" s="50"/>
      <c r="B207" s="46"/>
      <c r="C207" s="46"/>
      <c r="D207" s="44"/>
      <c r="E207" s="45"/>
      <c r="F207" s="42">
        <v>0</v>
      </c>
      <c r="G207" s="36">
        <f t="shared" si="13"/>
        <v>0</v>
      </c>
      <c r="H207" s="36"/>
      <c r="I207" s="36"/>
      <c r="J207" s="37">
        <f t="shared" si="12"/>
        <v>0</v>
      </c>
    </row>
    <row r="208" spans="1:10" x14ac:dyDescent="0.25">
      <c r="A208" s="50"/>
      <c r="B208" s="46"/>
      <c r="C208" s="46"/>
      <c r="D208" s="44"/>
      <c r="E208" s="45"/>
      <c r="F208" s="42">
        <v>0</v>
      </c>
      <c r="G208" s="36">
        <f t="shared" si="13"/>
        <v>0</v>
      </c>
      <c r="H208" s="36"/>
      <c r="I208" s="36"/>
      <c r="J208" s="37">
        <f t="shared" si="12"/>
        <v>0</v>
      </c>
    </row>
    <row r="209" spans="1:10" x14ac:dyDescent="0.25">
      <c r="A209" s="50"/>
      <c r="B209" s="46"/>
      <c r="C209" s="46"/>
      <c r="D209" s="44"/>
      <c r="E209" s="45"/>
      <c r="F209" s="42">
        <v>0</v>
      </c>
      <c r="G209" s="36">
        <f t="shared" si="13"/>
        <v>0</v>
      </c>
      <c r="H209" s="36"/>
      <c r="I209" s="36"/>
      <c r="J209" s="37">
        <f t="shared" si="12"/>
        <v>0</v>
      </c>
    </row>
    <row r="210" spans="1:10" x14ac:dyDescent="0.25">
      <c r="A210" s="50"/>
      <c r="B210" s="46"/>
      <c r="C210" s="46"/>
      <c r="D210" s="44"/>
      <c r="E210" s="45"/>
      <c r="F210" s="42">
        <v>0</v>
      </c>
      <c r="G210" s="36">
        <f t="shared" si="13"/>
        <v>0</v>
      </c>
      <c r="H210" s="36"/>
      <c r="I210" s="36"/>
      <c r="J210" s="37">
        <f t="shared" si="12"/>
        <v>0</v>
      </c>
    </row>
    <row r="211" spans="1:10" x14ac:dyDescent="0.25">
      <c r="A211" s="50"/>
      <c r="B211" s="46"/>
      <c r="C211" s="46"/>
      <c r="D211" s="44"/>
      <c r="E211" s="45"/>
      <c r="F211" s="42">
        <v>0</v>
      </c>
      <c r="G211" s="36">
        <f t="shared" si="13"/>
        <v>0</v>
      </c>
      <c r="H211" s="36"/>
      <c r="I211" s="36"/>
      <c r="J211" s="37">
        <f t="shared" si="12"/>
        <v>0</v>
      </c>
    </row>
    <row r="212" spans="1:10" x14ac:dyDescent="0.25">
      <c r="A212" s="50"/>
      <c r="B212" s="46"/>
      <c r="C212" s="46"/>
      <c r="D212" s="44"/>
      <c r="E212" s="45"/>
      <c r="F212" s="42">
        <v>0</v>
      </c>
      <c r="G212" s="36">
        <f t="shared" si="13"/>
        <v>0</v>
      </c>
      <c r="H212" s="36"/>
      <c r="I212" s="36"/>
      <c r="J212" s="37">
        <f t="shared" si="12"/>
        <v>0</v>
      </c>
    </row>
    <row r="213" spans="1:10" x14ac:dyDescent="0.25">
      <c r="A213" s="50"/>
      <c r="B213" s="46"/>
      <c r="C213" s="46"/>
      <c r="D213" s="44"/>
      <c r="E213" s="45"/>
      <c r="F213" s="42">
        <v>0</v>
      </c>
      <c r="G213" s="36">
        <f t="shared" si="13"/>
        <v>0</v>
      </c>
      <c r="H213" s="36"/>
      <c r="I213" s="36"/>
      <c r="J213" s="37">
        <f t="shared" si="12"/>
        <v>0</v>
      </c>
    </row>
    <row r="214" spans="1:10" x14ac:dyDescent="0.25">
      <c r="A214" s="50"/>
      <c r="B214" s="46"/>
      <c r="C214" s="46"/>
      <c r="D214" s="44"/>
      <c r="E214" s="45"/>
      <c r="F214" s="42">
        <v>0</v>
      </c>
      <c r="G214" s="36">
        <f t="shared" si="13"/>
        <v>0</v>
      </c>
      <c r="H214" s="36"/>
      <c r="I214" s="36"/>
      <c r="J214" s="37">
        <f t="shared" si="12"/>
        <v>0</v>
      </c>
    </row>
    <row r="215" spans="1:10" x14ac:dyDescent="0.25">
      <c r="A215" s="50"/>
      <c r="B215" s="46"/>
      <c r="C215" s="46"/>
      <c r="D215" s="44"/>
      <c r="E215" s="45"/>
      <c r="F215" s="42">
        <v>0</v>
      </c>
      <c r="G215" s="36">
        <f t="shared" si="13"/>
        <v>0</v>
      </c>
      <c r="H215" s="36"/>
      <c r="I215" s="36"/>
      <c r="J215" s="37">
        <f t="shared" si="12"/>
        <v>0</v>
      </c>
    </row>
    <row r="216" spans="1:10" x14ac:dyDescent="0.25">
      <c r="B216" s="44"/>
      <c r="C216" s="44"/>
      <c r="D216" s="44"/>
      <c r="E216" s="45"/>
      <c r="F216" s="42">
        <v>0</v>
      </c>
      <c r="G216" s="36">
        <f t="shared" si="13"/>
        <v>0</v>
      </c>
      <c r="H216" s="36"/>
      <c r="I216" s="36"/>
      <c r="J216" s="37">
        <f t="shared" si="12"/>
        <v>0</v>
      </c>
    </row>
    <row r="217" spans="1:10" x14ac:dyDescent="0.25">
      <c r="B217" s="44"/>
      <c r="C217" s="44"/>
      <c r="D217" s="44"/>
      <c r="E217" s="45"/>
      <c r="F217" s="42">
        <v>0</v>
      </c>
      <c r="G217" s="36">
        <f t="shared" si="13"/>
        <v>0</v>
      </c>
      <c r="H217" s="36"/>
      <c r="I217" s="36"/>
      <c r="J217" s="37">
        <f t="shared" si="12"/>
        <v>0</v>
      </c>
    </row>
    <row r="218" spans="1:10" x14ac:dyDescent="0.25">
      <c r="B218" s="44"/>
      <c r="C218" s="44"/>
      <c r="D218" s="44"/>
      <c r="E218" s="45"/>
      <c r="F218" s="42">
        <v>0</v>
      </c>
      <c r="G218" s="36">
        <f t="shared" si="13"/>
        <v>0</v>
      </c>
      <c r="H218" s="36"/>
      <c r="I218" s="36"/>
      <c r="J218" s="37">
        <f t="shared" si="12"/>
        <v>0</v>
      </c>
    </row>
    <row r="219" spans="1:10" x14ac:dyDescent="0.25">
      <c r="B219" s="44"/>
      <c r="C219" s="44"/>
      <c r="D219" s="44"/>
      <c r="E219" s="45"/>
      <c r="F219" s="42">
        <v>0</v>
      </c>
      <c r="G219" s="36">
        <f t="shared" si="13"/>
        <v>0</v>
      </c>
      <c r="H219" s="36"/>
      <c r="I219" s="36"/>
      <c r="J219" s="37">
        <f t="shared" si="12"/>
        <v>0</v>
      </c>
    </row>
    <row r="220" spans="1:10" x14ac:dyDescent="0.25">
      <c r="B220" s="44"/>
      <c r="C220" s="44"/>
      <c r="D220" s="44"/>
      <c r="E220" s="45"/>
      <c r="F220" s="42">
        <v>0</v>
      </c>
      <c r="G220" s="36">
        <f t="shared" si="13"/>
        <v>0</v>
      </c>
      <c r="H220" s="36"/>
      <c r="I220" s="36"/>
      <c r="J220" s="37">
        <f t="shared" si="12"/>
        <v>0</v>
      </c>
    </row>
    <row r="221" spans="1:10" x14ac:dyDescent="0.25">
      <c r="B221" s="44"/>
      <c r="C221" s="44"/>
      <c r="D221" s="44"/>
      <c r="E221" s="45"/>
      <c r="F221" s="42">
        <v>0</v>
      </c>
      <c r="G221" s="36">
        <f t="shared" si="13"/>
        <v>0</v>
      </c>
      <c r="H221" s="36"/>
      <c r="I221" s="36"/>
      <c r="J221" s="37">
        <f t="shared" si="12"/>
        <v>0</v>
      </c>
    </row>
    <row r="222" spans="1:10" x14ac:dyDescent="0.25">
      <c r="B222" s="44"/>
      <c r="C222" s="44"/>
      <c r="D222" s="44"/>
      <c r="E222" s="45"/>
      <c r="F222" s="42">
        <v>0</v>
      </c>
      <c r="G222" s="36">
        <f t="shared" si="13"/>
        <v>0</v>
      </c>
      <c r="H222" s="36"/>
      <c r="I222" s="36"/>
      <c r="J222" s="37">
        <f t="shared" si="12"/>
        <v>0</v>
      </c>
    </row>
    <row r="223" spans="1:10" x14ac:dyDescent="0.25">
      <c r="B223" s="44"/>
      <c r="C223" s="44"/>
      <c r="D223" s="44"/>
      <c r="E223" s="45"/>
      <c r="F223" s="42">
        <v>0</v>
      </c>
      <c r="G223" s="36">
        <f t="shared" si="13"/>
        <v>0</v>
      </c>
      <c r="H223" s="36"/>
      <c r="I223" s="36"/>
      <c r="J223" s="37">
        <f t="shared" si="12"/>
        <v>0</v>
      </c>
    </row>
    <row r="224" spans="1:10" x14ac:dyDescent="0.25">
      <c r="B224" s="44"/>
      <c r="C224" s="44"/>
      <c r="D224" s="44"/>
      <c r="E224" s="45"/>
      <c r="F224" s="42">
        <v>0</v>
      </c>
      <c r="G224" s="36">
        <f t="shared" si="13"/>
        <v>0</v>
      </c>
      <c r="H224" s="36"/>
      <c r="I224" s="36"/>
      <c r="J224" s="37">
        <f t="shared" si="12"/>
        <v>0</v>
      </c>
    </row>
    <row r="225" spans="2:10" x14ac:dyDescent="0.25">
      <c r="B225" s="44"/>
      <c r="C225" s="44"/>
      <c r="D225" s="44"/>
      <c r="E225" s="45"/>
      <c r="F225" s="42">
        <v>0</v>
      </c>
      <c r="G225" s="36">
        <f t="shared" si="13"/>
        <v>0</v>
      </c>
      <c r="H225" s="36"/>
      <c r="I225" s="36"/>
      <c r="J225" s="37">
        <f t="shared" si="12"/>
        <v>0</v>
      </c>
    </row>
    <row r="226" spans="2:10" x14ac:dyDescent="0.25">
      <c r="B226" s="44"/>
      <c r="C226" s="44"/>
      <c r="D226" s="44"/>
      <c r="E226" s="45"/>
      <c r="F226" s="42">
        <v>0</v>
      </c>
      <c r="G226" s="36">
        <f t="shared" si="13"/>
        <v>0</v>
      </c>
      <c r="H226" s="36"/>
      <c r="I226" s="36"/>
      <c r="J226" s="37">
        <f t="shared" si="12"/>
        <v>0</v>
      </c>
    </row>
    <row r="227" spans="2:10" x14ac:dyDescent="0.25">
      <c r="B227" s="44"/>
      <c r="C227" s="44"/>
      <c r="D227" s="44"/>
      <c r="E227" s="45"/>
      <c r="F227" s="42">
        <v>0</v>
      </c>
      <c r="G227" s="36">
        <f t="shared" si="13"/>
        <v>0</v>
      </c>
      <c r="H227" s="36"/>
      <c r="I227" s="36"/>
      <c r="J227" s="37">
        <f t="shared" si="12"/>
        <v>0</v>
      </c>
    </row>
    <row r="228" spans="2:10" x14ac:dyDescent="0.25">
      <c r="B228" s="44"/>
      <c r="C228" s="44"/>
      <c r="D228" s="44"/>
      <c r="E228" s="45"/>
      <c r="F228" s="42">
        <v>0</v>
      </c>
      <c r="G228" s="36">
        <f t="shared" si="13"/>
        <v>0</v>
      </c>
      <c r="H228" s="36"/>
      <c r="I228" s="36"/>
      <c r="J228" s="37">
        <f t="shared" si="12"/>
        <v>0</v>
      </c>
    </row>
    <row r="229" spans="2:10" x14ac:dyDescent="0.25">
      <c r="B229" s="40"/>
      <c r="C229" s="44"/>
      <c r="D229" s="40"/>
      <c r="E229" s="41"/>
      <c r="F229" s="42">
        <v>0</v>
      </c>
      <c r="G229" s="36">
        <f t="shared" si="13"/>
        <v>0</v>
      </c>
      <c r="H229" s="36"/>
      <c r="I229" s="36"/>
      <c r="J229" s="37">
        <f t="shared" si="12"/>
        <v>0</v>
      </c>
    </row>
    <row r="230" spans="2:10" x14ac:dyDescent="0.25">
      <c r="B230" s="40"/>
      <c r="C230" s="44"/>
      <c r="D230" s="40"/>
      <c r="E230" s="41"/>
      <c r="F230" s="42">
        <v>0</v>
      </c>
      <c r="G230" s="36">
        <f t="shared" si="13"/>
        <v>0</v>
      </c>
      <c r="H230" s="36"/>
      <c r="I230" s="36"/>
      <c r="J230" s="37">
        <f t="shared" si="12"/>
        <v>0</v>
      </c>
    </row>
    <row r="231" spans="2:10" x14ac:dyDescent="0.25">
      <c r="B231" s="40"/>
      <c r="C231" s="44"/>
      <c r="D231" s="40"/>
      <c r="E231" s="41"/>
      <c r="F231" s="42">
        <v>0</v>
      </c>
      <c r="G231" s="36">
        <f t="shared" si="13"/>
        <v>0</v>
      </c>
      <c r="H231" s="36"/>
      <c r="I231" s="36"/>
      <c r="J231" s="37">
        <f t="shared" si="12"/>
        <v>0</v>
      </c>
    </row>
    <row r="232" spans="2:10" x14ac:dyDescent="0.25">
      <c r="B232" s="40"/>
      <c r="C232" s="44"/>
      <c r="D232" s="40"/>
      <c r="E232" s="41"/>
      <c r="F232" s="42">
        <v>0</v>
      </c>
      <c r="G232" s="36">
        <f t="shared" si="13"/>
        <v>0</v>
      </c>
      <c r="H232" s="36"/>
      <c r="I232" s="36"/>
      <c r="J232" s="37">
        <f t="shared" si="12"/>
        <v>0</v>
      </c>
    </row>
    <row r="233" spans="2:10" x14ac:dyDescent="0.25">
      <c r="B233" s="40"/>
      <c r="C233" s="44"/>
      <c r="D233" s="40"/>
      <c r="E233" s="41"/>
      <c r="F233" s="42">
        <v>0</v>
      </c>
      <c r="G233" s="36">
        <f t="shared" si="13"/>
        <v>0</v>
      </c>
      <c r="H233" s="36"/>
      <c r="I233" s="36"/>
      <c r="J233" s="37">
        <f t="shared" si="12"/>
        <v>0</v>
      </c>
    </row>
    <row r="234" spans="2:10" x14ac:dyDescent="0.25">
      <c r="B234" s="40"/>
      <c r="C234" s="44"/>
      <c r="D234" s="40"/>
      <c r="E234" s="41"/>
      <c r="F234" s="42">
        <v>0</v>
      </c>
      <c r="G234" s="36">
        <f t="shared" si="13"/>
        <v>0</v>
      </c>
      <c r="H234" s="36"/>
      <c r="I234" s="36"/>
      <c r="J234" s="37">
        <f t="shared" si="12"/>
        <v>0</v>
      </c>
    </row>
    <row r="235" spans="2:10" x14ac:dyDescent="0.25">
      <c r="F235" s="42">
        <v>0</v>
      </c>
      <c r="G235" s="36">
        <f t="shared" si="13"/>
        <v>0</v>
      </c>
      <c r="H235" s="36"/>
      <c r="I235" s="36"/>
      <c r="J235" s="37">
        <f t="shared" si="12"/>
        <v>0</v>
      </c>
    </row>
    <row r="236" spans="2:10" x14ac:dyDescent="0.25">
      <c r="F236" s="42">
        <v>0</v>
      </c>
      <c r="G236" s="36">
        <f t="shared" si="13"/>
        <v>0</v>
      </c>
      <c r="H236" s="36"/>
      <c r="I236" s="36"/>
      <c r="J236" s="37">
        <f t="shared" si="12"/>
        <v>0</v>
      </c>
    </row>
    <row r="237" spans="2:10" x14ac:dyDescent="0.25">
      <c r="F237" s="42">
        <v>0</v>
      </c>
      <c r="G237" s="36">
        <f t="shared" si="13"/>
        <v>0</v>
      </c>
      <c r="H237" s="36"/>
      <c r="I237" s="36"/>
      <c r="J237" s="37">
        <f t="shared" si="12"/>
        <v>0</v>
      </c>
    </row>
    <row r="238" spans="2:10" x14ac:dyDescent="0.25">
      <c r="F238" s="42">
        <v>0</v>
      </c>
      <c r="G238" s="36">
        <f t="shared" si="13"/>
        <v>0</v>
      </c>
      <c r="H238" s="36"/>
      <c r="I238" s="36"/>
      <c r="J238" s="37">
        <f t="shared" si="12"/>
        <v>0</v>
      </c>
    </row>
    <row r="239" spans="2:10" x14ac:dyDescent="0.25">
      <c r="F239" s="42">
        <v>0</v>
      </c>
      <c r="G239" s="36">
        <f t="shared" si="13"/>
        <v>0</v>
      </c>
      <c r="H239" s="36"/>
      <c r="I239" s="36"/>
      <c r="J239" s="37">
        <f t="shared" si="12"/>
        <v>0</v>
      </c>
    </row>
  </sheetData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D21 D12:D18 B2:C234">
      <formula1>500</formula1>
    </dataValidation>
    <dataValidation type="custom" allowBlank="1" showInputMessage="1" showErrorMessage="1" error="Please enter Numeric value having length less than or equal to 16 including decimal points. Do not enter Special characters." sqref="F2:F239">
      <formula1>AG2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234">
      <formula1>AF2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2:D11 D22:D234 D19:D20">
      <formula1>AD2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A26" sqref="A26"/>
    </sheetView>
  </sheetViews>
  <sheetFormatPr defaultRowHeight="15" x14ac:dyDescent="0.25"/>
  <cols>
    <col min="1" max="1" width="19.140625" customWidth="1"/>
    <col min="2" max="2" width="38.42578125" customWidth="1"/>
    <col min="3" max="3" width="10.140625" customWidth="1"/>
    <col min="4" max="4" width="11" customWidth="1"/>
    <col min="5" max="5" width="12.42578125" customWidth="1"/>
    <col min="6" max="6" width="7.7109375" customWidth="1"/>
    <col min="10" max="10" width="12.8554687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109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48" t="s">
        <v>176</v>
      </c>
      <c r="B3" s="44" t="s">
        <v>177</v>
      </c>
      <c r="C3" s="44" t="s">
        <v>178</v>
      </c>
      <c r="D3" s="44" t="s">
        <v>179</v>
      </c>
      <c r="E3" s="45">
        <v>1108.8499999999999</v>
      </c>
      <c r="F3" s="42">
        <v>28</v>
      </c>
      <c r="G3" s="56">
        <f t="shared" ref="G3:G8" si="0">ROUND((E3*F3%)/2,)</f>
        <v>155</v>
      </c>
      <c r="H3" s="56">
        <f t="shared" ref="H3:H8" si="1">G3</f>
        <v>155</v>
      </c>
      <c r="I3" s="56">
        <f t="shared" ref="I3:I8" si="2">G3+H3</f>
        <v>310</v>
      </c>
      <c r="J3" s="57">
        <f t="shared" ref="J3:J8" si="3">E3+I3</f>
        <v>1418.85</v>
      </c>
    </row>
    <row r="4" spans="1:10" x14ac:dyDescent="0.25">
      <c r="A4" s="48" t="s">
        <v>176</v>
      </c>
      <c r="B4" s="44" t="s">
        <v>177</v>
      </c>
      <c r="C4" s="44" t="s">
        <v>180</v>
      </c>
      <c r="D4" s="44" t="s">
        <v>181</v>
      </c>
      <c r="E4" s="45">
        <v>457.8</v>
      </c>
      <c r="F4" s="42">
        <v>28</v>
      </c>
      <c r="G4" s="56">
        <f t="shared" si="0"/>
        <v>64</v>
      </c>
      <c r="H4" s="56">
        <f t="shared" si="1"/>
        <v>64</v>
      </c>
      <c r="I4" s="56">
        <f t="shared" si="2"/>
        <v>128</v>
      </c>
      <c r="J4" s="57">
        <f t="shared" si="3"/>
        <v>585.79999999999995</v>
      </c>
    </row>
    <row r="5" spans="1:10" x14ac:dyDescent="0.25">
      <c r="A5" s="48" t="s">
        <v>182</v>
      </c>
      <c r="B5" s="44" t="s">
        <v>183</v>
      </c>
      <c r="C5" s="44" t="s">
        <v>184</v>
      </c>
      <c r="D5" s="44" t="s">
        <v>185</v>
      </c>
      <c r="E5" s="45">
        <v>835</v>
      </c>
      <c r="F5" s="42">
        <v>18</v>
      </c>
      <c r="G5" s="56">
        <f t="shared" si="0"/>
        <v>75</v>
      </c>
      <c r="H5" s="56">
        <f t="shared" si="1"/>
        <v>75</v>
      </c>
      <c r="I5" s="56">
        <f t="shared" si="2"/>
        <v>150</v>
      </c>
      <c r="J5" s="57">
        <f t="shared" si="3"/>
        <v>985</v>
      </c>
    </row>
    <row r="6" spans="1:10" x14ac:dyDescent="0.25">
      <c r="A6" s="48"/>
      <c r="B6" s="44"/>
      <c r="C6" s="44"/>
      <c r="D6" s="44"/>
      <c r="E6" s="45"/>
      <c r="F6" s="42">
        <v>18</v>
      </c>
      <c r="G6" s="56">
        <f t="shared" si="0"/>
        <v>0</v>
      </c>
      <c r="H6" s="56">
        <f t="shared" si="1"/>
        <v>0</v>
      </c>
      <c r="I6" s="56">
        <f t="shared" si="2"/>
        <v>0</v>
      </c>
      <c r="J6" s="57">
        <f t="shared" si="3"/>
        <v>0</v>
      </c>
    </row>
    <row r="7" spans="1:10" x14ac:dyDescent="0.25">
      <c r="A7" s="48"/>
      <c r="B7" s="58" t="s">
        <v>114</v>
      </c>
      <c r="C7" s="44"/>
      <c r="D7" s="44"/>
      <c r="E7" s="45"/>
      <c r="F7" s="42">
        <v>18</v>
      </c>
      <c r="G7" s="56">
        <f t="shared" si="0"/>
        <v>0</v>
      </c>
      <c r="H7" s="56">
        <f t="shared" si="1"/>
        <v>0</v>
      </c>
      <c r="I7" s="56">
        <f t="shared" si="2"/>
        <v>0</v>
      </c>
      <c r="J7" s="57">
        <f t="shared" si="3"/>
        <v>0</v>
      </c>
    </row>
    <row r="8" spans="1:10" x14ac:dyDescent="0.25">
      <c r="A8" s="59" t="s">
        <v>127</v>
      </c>
      <c r="B8" s="46" t="s">
        <v>128</v>
      </c>
      <c r="C8" s="44" t="s">
        <v>186</v>
      </c>
      <c r="D8" s="44" t="s">
        <v>179</v>
      </c>
      <c r="E8" s="45">
        <v>2700</v>
      </c>
      <c r="F8" s="42">
        <v>18</v>
      </c>
      <c r="G8" s="56">
        <f t="shared" si="0"/>
        <v>243</v>
      </c>
      <c r="H8" s="56">
        <f t="shared" si="1"/>
        <v>243</v>
      </c>
      <c r="I8" s="56">
        <f t="shared" si="2"/>
        <v>486</v>
      </c>
      <c r="J8" s="57">
        <f t="shared" si="3"/>
        <v>3186</v>
      </c>
    </row>
    <row r="9" spans="1:10" x14ac:dyDescent="0.25">
      <c r="A9" s="59" t="s">
        <v>123</v>
      </c>
      <c r="B9" s="46" t="s">
        <v>124</v>
      </c>
      <c r="C9" s="44" t="s">
        <v>187</v>
      </c>
      <c r="D9" s="44" t="s">
        <v>214</v>
      </c>
      <c r="E9" s="45">
        <v>2400</v>
      </c>
      <c r="F9" s="42">
        <v>18</v>
      </c>
      <c r="G9" s="56">
        <f t="shared" ref="G9:G60" si="4">ROUND((E9*F9%)/2,)</f>
        <v>216</v>
      </c>
      <c r="H9" s="56">
        <f t="shared" ref="H9:H60" si="5">G9</f>
        <v>216</v>
      </c>
      <c r="I9" s="56">
        <f t="shared" ref="I9:I60" si="6">G9+H9</f>
        <v>432</v>
      </c>
      <c r="J9" s="57">
        <f t="shared" ref="J9:J60" si="7">E9+I9</f>
        <v>2832</v>
      </c>
    </row>
    <row r="10" spans="1:10" x14ac:dyDescent="0.25">
      <c r="A10" s="59" t="s">
        <v>123</v>
      </c>
      <c r="B10" s="46" t="s">
        <v>124</v>
      </c>
      <c r="C10" s="44" t="s">
        <v>188</v>
      </c>
      <c r="D10" s="44" t="s">
        <v>215</v>
      </c>
      <c r="E10" s="45">
        <v>3432</v>
      </c>
      <c r="F10" s="42">
        <v>18</v>
      </c>
      <c r="G10" s="56">
        <v>308.88</v>
      </c>
      <c r="H10" s="56">
        <v>308.88</v>
      </c>
      <c r="I10" s="56">
        <v>617.76</v>
      </c>
      <c r="J10" s="57">
        <v>4050</v>
      </c>
    </row>
    <row r="11" spans="1:10" x14ac:dyDescent="0.25">
      <c r="A11" s="59" t="s">
        <v>123</v>
      </c>
      <c r="B11" s="46" t="s">
        <v>124</v>
      </c>
      <c r="C11" s="44" t="s">
        <v>189</v>
      </c>
      <c r="D11" s="44" t="s">
        <v>216</v>
      </c>
      <c r="E11" s="45">
        <v>1200</v>
      </c>
      <c r="F11" s="42">
        <v>18</v>
      </c>
      <c r="G11" s="56">
        <f t="shared" si="4"/>
        <v>108</v>
      </c>
      <c r="H11" s="56">
        <f t="shared" si="5"/>
        <v>108</v>
      </c>
      <c r="I11" s="56">
        <f t="shared" si="6"/>
        <v>216</v>
      </c>
      <c r="J11" s="57">
        <f t="shared" si="7"/>
        <v>1416</v>
      </c>
    </row>
    <row r="12" spans="1:10" x14ac:dyDescent="0.25">
      <c r="A12" s="59" t="s">
        <v>123</v>
      </c>
      <c r="B12" s="46" t="s">
        <v>124</v>
      </c>
      <c r="C12" s="44" t="s">
        <v>190</v>
      </c>
      <c r="D12" s="44" t="s">
        <v>179</v>
      </c>
      <c r="E12" s="45">
        <v>1200</v>
      </c>
      <c r="F12" s="42">
        <v>18</v>
      </c>
      <c r="G12" s="56">
        <f t="shared" si="4"/>
        <v>108</v>
      </c>
      <c r="H12" s="56">
        <f t="shared" si="5"/>
        <v>108</v>
      </c>
      <c r="I12" s="56">
        <f t="shared" si="6"/>
        <v>216</v>
      </c>
      <c r="J12" s="57">
        <f t="shared" si="7"/>
        <v>1416</v>
      </c>
    </row>
    <row r="13" spans="1:10" x14ac:dyDescent="0.25">
      <c r="A13" s="59" t="s">
        <v>123</v>
      </c>
      <c r="B13" s="46" t="s">
        <v>124</v>
      </c>
      <c r="C13" s="44" t="s">
        <v>191</v>
      </c>
      <c r="D13" s="44" t="s">
        <v>217</v>
      </c>
      <c r="E13" s="45">
        <v>1632</v>
      </c>
      <c r="F13" s="42">
        <v>18</v>
      </c>
      <c r="G13" s="56">
        <f t="shared" si="4"/>
        <v>147</v>
      </c>
      <c r="H13" s="56">
        <f t="shared" si="5"/>
        <v>147</v>
      </c>
      <c r="I13" s="56">
        <f t="shared" si="6"/>
        <v>294</v>
      </c>
      <c r="J13" s="57">
        <f t="shared" si="7"/>
        <v>1926</v>
      </c>
    </row>
    <row r="14" spans="1:10" x14ac:dyDescent="0.25">
      <c r="A14" s="59" t="s">
        <v>123</v>
      </c>
      <c r="B14" s="46" t="s">
        <v>124</v>
      </c>
      <c r="C14" s="44" t="s">
        <v>192</v>
      </c>
      <c r="D14" s="44" t="s">
        <v>217</v>
      </c>
      <c r="E14" s="45">
        <v>1050</v>
      </c>
      <c r="F14" s="42">
        <v>18</v>
      </c>
      <c r="G14" s="56">
        <f t="shared" si="4"/>
        <v>95</v>
      </c>
      <c r="H14" s="56">
        <f t="shared" si="5"/>
        <v>95</v>
      </c>
      <c r="I14" s="56">
        <f t="shared" si="6"/>
        <v>190</v>
      </c>
      <c r="J14" s="57">
        <f t="shared" si="7"/>
        <v>1240</v>
      </c>
    </row>
    <row r="15" spans="1:10" x14ac:dyDescent="0.25">
      <c r="A15" s="59" t="s">
        <v>123</v>
      </c>
      <c r="B15" s="46" t="s">
        <v>124</v>
      </c>
      <c r="C15" s="44" t="s">
        <v>193</v>
      </c>
      <c r="D15" s="44" t="s">
        <v>217</v>
      </c>
      <c r="E15" s="45">
        <v>750</v>
      </c>
      <c r="F15" s="42">
        <v>18</v>
      </c>
      <c r="G15" s="56">
        <f t="shared" si="4"/>
        <v>68</v>
      </c>
      <c r="H15" s="56">
        <f t="shared" si="5"/>
        <v>68</v>
      </c>
      <c r="I15" s="56">
        <f t="shared" si="6"/>
        <v>136</v>
      </c>
      <c r="J15" s="57">
        <f t="shared" si="7"/>
        <v>886</v>
      </c>
    </row>
    <row r="16" spans="1:10" x14ac:dyDescent="0.25">
      <c r="A16" s="59" t="s">
        <v>123</v>
      </c>
      <c r="B16" s="46" t="s">
        <v>124</v>
      </c>
      <c r="C16" s="44" t="s">
        <v>194</v>
      </c>
      <c r="D16" s="44" t="s">
        <v>217</v>
      </c>
      <c r="E16" s="45">
        <v>3390</v>
      </c>
      <c r="F16" s="42">
        <v>18</v>
      </c>
      <c r="G16" s="56">
        <f t="shared" si="4"/>
        <v>305</v>
      </c>
      <c r="H16" s="56">
        <f t="shared" si="5"/>
        <v>305</v>
      </c>
      <c r="I16" s="56">
        <f t="shared" si="6"/>
        <v>610</v>
      </c>
      <c r="J16" s="57">
        <f t="shared" si="7"/>
        <v>4000</v>
      </c>
    </row>
    <row r="17" spans="1:10" x14ac:dyDescent="0.25">
      <c r="A17" s="59" t="s">
        <v>123</v>
      </c>
      <c r="B17" s="46" t="s">
        <v>124</v>
      </c>
      <c r="C17" s="44" t="s">
        <v>195</v>
      </c>
      <c r="D17" s="44" t="s">
        <v>218</v>
      </c>
      <c r="E17" s="45">
        <v>1200</v>
      </c>
      <c r="F17" s="42">
        <v>18</v>
      </c>
      <c r="G17" s="56">
        <f t="shared" si="4"/>
        <v>108</v>
      </c>
      <c r="H17" s="56">
        <f t="shared" si="5"/>
        <v>108</v>
      </c>
      <c r="I17" s="56">
        <f t="shared" si="6"/>
        <v>216</v>
      </c>
      <c r="J17" s="57">
        <f t="shared" si="7"/>
        <v>1416</v>
      </c>
    </row>
    <row r="18" spans="1:10" x14ac:dyDescent="0.25">
      <c r="A18" s="59" t="s">
        <v>127</v>
      </c>
      <c r="B18" s="46" t="s">
        <v>128</v>
      </c>
      <c r="C18" s="44" t="s">
        <v>196</v>
      </c>
      <c r="D18" s="44" t="s">
        <v>219</v>
      </c>
      <c r="E18" s="45">
        <v>1100</v>
      </c>
      <c r="F18" s="42">
        <v>18</v>
      </c>
      <c r="G18" s="56">
        <f t="shared" si="4"/>
        <v>99</v>
      </c>
      <c r="H18" s="56">
        <f t="shared" si="5"/>
        <v>99</v>
      </c>
      <c r="I18" s="56">
        <f t="shared" si="6"/>
        <v>198</v>
      </c>
      <c r="J18" s="57">
        <f t="shared" si="7"/>
        <v>1298</v>
      </c>
    </row>
    <row r="19" spans="1:10" x14ac:dyDescent="0.25">
      <c r="A19" s="59" t="s">
        <v>135</v>
      </c>
      <c r="B19" s="46" t="s">
        <v>136</v>
      </c>
      <c r="C19" s="44" t="s">
        <v>197</v>
      </c>
      <c r="D19" s="44" t="s">
        <v>219</v>
      </c>
      <c r="E19" s="45">
        <v>11500</v>
      </c>
      <c r="F19" s="42">
        <v>18</v>
      </c>
      <c r="G19" s="56">
        <f t="shared" si="4"/>
        <v>1035</v>
      </c>
      <c r="H19" s="56">
        <f t="shared" si="5"/>
        <v>1035</v>
      </c>
      <c r="I19" s="56">
        <f t="shared" si="6"/>
        <v>2070</v>
      </c>
      <c r="J19" s="57">
        <f t="shared" si="7"/>
        <v>13570</v>
      </c>
    </row>
    <row r="20" spans="1:10" x14ac:dyDescent="0.25">
      <c r="A20" s="59" t="s">
        <v>123</v>
      </c>
      <c r="B20" s="46" t="s">
        <v>124</v>
      </c>
      <c r="C20" s="44" t="s">
        <v>198</v>
      </c>
      <c r="D20" s="44" t="s">
        <v>219</v>
      </c>
      <c r="E20" s="45">
        <v>1200</v>
      </c>
      <c r="F20" s="42">
        <v>18</v>
      </c>
      <c r="G20" s="56">
        <f t="shared" si="4"/>
        <v>108</v>
      </c>
      <c r="H20" s="56">
        <f t="shared" si="5"/>
        <v>108</v>
      </c>
      <c r="I20" s="56">
        <f t="shared" si="6"/>
        <v>216</v>
      </c>
      <c r="J20" s="57">
        <f t="shared" si="7"/>
        <v>1416</v>
      </c>
    </row>
    <row r="21" spans="1:10" x14ac:dyDescent="0.25">
      <c r="A21" s="59" t="s">
        <v>123</v>
      </c>
      <c r="B21" s="46" t="s">
        <v>124</v>
      </c>
      <c r="C21" s="44" t="s">
        <v>199</v>
      </c>
      <c r="D21" s="44" t="s">
        <v>220</v>
      </c>
      <c r="E21" s="45">
        <v>2400</v>
      </c>
      <c r="F21" s="42">
        <v>18</v>
      </c>
      <c r="G21" s="56">
        <f t="shared" si="4"/>
        <v>216</v>
      </c>
      <c r="H21" s="56">
        <f t="shared" si="5"/>
        <v>216</v>
      </c>
      <c r="I21" s="56">
        <f t="shared" si="6"/>
        <v>432</v>
      </c>
      <c r="J21" s="57">
        <f t="shared" si="7"/>
        <v>2832</v>
      </c>
    </row>
    <row r="22" spans="1:10" x14ac:dyDescent="0.25">
      <c r="A22" s="59" t="s">
        <v>127</v>
      </c>
      <c r="B22" s="46" t="s">
        <v>128</v>
      </c>
      <c r="C22" s="44" t="s">
        <v>200</v>
      </c>
      <c r="D22" s="44" t="s">
        <v>221</v>
      </c>
      <c r="E22" s="45">
        <v>3400</v>
      </c>
      <c r="F22" s="42">
        <v>18</v>
      </c>
      <c r="G22" s="56">
        <f t="shared" si="4"/>
        <v>306</v>
      </c>
      <c r="H22" s="56">
        <f t="shared" si="5"/>
        <v>306</v>
      </c>
      <c r="I22" s="56">
        <f t="shared" si="6"/>
        <v>612</v>
      </c>
      <c r="J22" s="57">
        <f t="shared" si="7"/>
        <v>4012</v>
      </c>
    </row>
    <row r="23" spans="1:10" x14ac:dyDescent="0.25">
      <c r="A23" s="59" t="s">
        <v>123</v>
      </c>
      <c r="B23" s="46" t="s">
        <v>124</v>
      </c>
      <c r="C23" s="44" t="s">
        <v>201</v>
      </c>
      <c r="D23" s="44" t="s">
        <v>222</v>
      </c>
      <c r="E23" s="45">
        <v>4500</v>
      </c>
      <c r="F23" s="42">
        <v>18</v>
      </c>
      <c r="G23" s="56">
        <f t="shared" si="4"/>
        <v>405</v>
      </c>
      <c r="H23" s="56">
        <f t="shared" si="5"/>
        <v>405</v>
      </c>
      <c r="I23" s="56">
        <f t="shared" si="6"/>
        <v>810</v>
      </c>
      <c r="J23" s="57">
        <f t="shared" si="7"/>
        <v>5310</v>
      </c>
    </row>
    <row r="24" spans="1:10" x14ac:dyDescent="0.25">
      <c r="A24" s="59" t="s">
        <v>123</v>
      </c>
      <c r="B24" s="46" t="s">
        <v>124</v>
      </c>
      <c r="C24" s="44" t="s">
        <v>202</v>
      </c>
      <c r="D24" s="44" t="s">
        <v>222</v>
      </c>
      <c r="E24" s="45">
        <v>1022</v>
      </c>
      <c r="F24" s="42">
        <v>18</v>
      </c>
      <c r="G24" s="56">
        <f t="shared" si="4"/>
        <v>92</v>
      </c>
      <c r="H24" s="56">
        <f t="shared" si="5"/>
        <v>92</v>
      </c>
      <c r="I24" s="56">
        <f t="shared" si="6"/>
        <v>184</v>
      </c>
      <c r="J24" s="57">
        <f t="shared" si="7"/>
        <v>1206</v>
      </c>
    </row>
    <row r="25" spans="1:10" x14ac:dyDescent="0.25">
      <c r="A25" s="59" t="s">
        <v>123</v>
      </c>
      <c r="B25" s="46" t="s">
        <v>124</v>
      </c>
      <c r="C25" s="44" t="s">
        <v>203</v>
      </c>
      <c r="D25" s="44" t="s">
        <v>223</v>
      </c>
      <c r="E25" s="45">
        <v>1800</v>
      </c>
      <c r="F25" s="42">
        <v>18</v>
      </c>
      <c r="G25" s="56">
        <f t="shared" si="4"/>
        <v>162</v>
      </c>
      <c r="H25" s="56">
        <f t="shared" si="5"/>
        <v>162</v>
      </c>
      <c r="I25" s="56">
        <f t="shared" si="6"/>
        <v>324</v>
      </c>
      <c r="J25" s="57">
        <f t="shared" si="7"/>
        <v>2124</v>
      </c>
    </row>
    <row r="26" spans="1:10" x14ac:dyDescent="0.25">
      <c r="A26" s="59" t="s">
        <v>123</v>
      </c>
      <c r="B26" s="46" t="s">
        <v>124</v>
      </c>
      <c r="C26" s="44" t="s">
        <v>204</v>
      </c>
      <c r="D26" s="44" t="s">
        <v>224</v>
      </c>
      <c r="E26" s="45">
        <v>1300</v>
      </c>
      <c r="F26" s="42">
        <v>18</v>
      </c>
      <c r="G26" s="56">
        <f t="shared" si="4"/>
        <v>117</v>
      </c>
      <c r="H26" s="56">
        <f t="shared" si="5"/>
        <v>117</v>
      </c>
      <c r="I26" s="56">
        <f t="shared" si="6"/>
        <v>234</v>
      </c>
      <c r="J26" s="57">
        <f t="shared" si="7"/>
        <v>1534</v>
      </c>
    </row>
    <row r="27" spans="1:10" x14ac:dyDescent="0.25">
      <c r="A27" s="59" t="s">
        <v>123</v>
      </c>
      <c r="B27" s="46" t="s">
        <v>124</v>
      </c>
      <c r="C27" s="44" t="s">
        <v>205</v>
      </c>
      <c r="D27" s="44" t="s">
        <v>225</v>
      </c>
      <c r="E27" s="45">
        <v>2400</v>
      </c>
      <c r="F27" s="42">
        <v>18</v>
      </c>
      <c r="G27" s="56">
        <f t="shared" si="4"/>
        <v>216</v>
      </c>
      <c r="H27" s="56">
        <f t="shared" si="5"/>
        <v>216</v>
      </c>
      <c r="I27" s="56">
        <f t="shared" si="6"/>
        <v>432</v>
      </c>
      <c r="J27" s="57">
        <f t="shared" si="7"/>
        <v>2832</v>
      </c>
    </row>
    <row r="28" spans="1:10" x14ac:dyDescent="0.25">
      <c r="A28" s="59" t="s">
        <v>123</v>
      </c>
      <c r="B28" s="46" t="s">
        <v>124</v>
      </c>
      <c r="C28" s="44" t="s">
        <v>206</v>
      </c>
      <c r="D28" s="44" t="s">
        <v>226</v>
      </c>
      <c r="E28" s="45">
        <v>1200</v>
      </c>
      <c r="F28" s="42">
        <v>18</v>
      </c>
      <c r="G28" s="56">
        <f t="shared" si="4"/>
        <v>108</v>
      </c>
      <c r="H28" s="56">
        <f t="shared" si="5"/>
        <v>108</v>
      </c>
      <c r="I28" s="56">
        <f t="shared" si="6"/>
        <v>216</v>
      </c>
      <c r="J28" s="57">
        <f t="shared" si="7"/>
        <v>1416</v>
      </c>
    </row>
    <row r="29" spans="1:10" x14ac:dyDescent="0.25">
      <c r="A29" s="59" t="s">
        <v>123</v>
      </c>
      <c r="B29" s="46" t="s">
        <v>124</v>
      </c>
      <c r="C29" s="44" t="s">
        <v>207</v>
      </c>
      <c r="D29" s="44" t="s">
        <v>227</v>
      </c>
      <c r="E29" s="45">
        <v>1200</v>
      </c>
      <c r="F29" s="42">
        <v>18</v>
      </c>
      <c r="G29" s="56">
        <f t="shared" si="4"/>
        <v>108</v>
      </c>
      <c r="H29" s="56">
        <f t="shared" si="5"/>
        <v>108</v>
      </c>
      <c r="I29" s="56">
        <f t="shared" si="6"/>
        <v>216</v>
      </c>
      <c r="J29" s="57">
        <f t="shared" si="7"/>
        <v>1416</v>
      </c>
    </row>
    <row r="30" spans="1:10" x14ac:dyDescent="0.25">
      <c r="A30" s="59" t="s">
        <v>228</v>
      </c>
      <c r="B30" s="46" t="s">
        <v>229</v>
      </c>
      <c r="C30" s="44" t="s">
        <v>208</v>
      </c>
      <c r="D30" s="44" t="s">
        <v>185</v>
      </c>
      <c r="E30" s="45">
        <v>9000</v>
      </c>
      <c r="F30" s="42">
        <v>18</v>
      </c>
      <c r="G30" s="56">
        <f t="shared" si="4"/>
        <v>810</v>
      </c>
      <c r="H30" s="56">
        <f t="shared" si="5"/>
        <v>810</v>
      </c>
      <c r="I30" s="56">
        <f t="shared" si="6"/>
        <v>1620</v>
      </c>
      <c r="J30" s="57">
        <v>11920</v>
      </c>
    </row>
    <row r="31" spans="1:10" x14ac:dyDescent="0.25">
      <c r="A31" s="59" t="s">
        <v>123</v>
      </c>
      <c r="B31" s="46" t="s">
        <v>124</v>
      </c>
      <c r="C31" s="44" t="s">
        <v>209</v>
      </c>
      <c r="D31" s="44" t="s">
        <v>185</v>
      </c>
      <c r="E31" s="45">
        <v>1200</v>
      </c>
      <c r="F31" s="42">
        <v>18</v>
      </c>
      <c r="G31" s="56">
        <f t="shared" si="4"/>
        <v>108</v>
      </c>
      <c r="H31" s="56">
        <f t="shared" si="5"/>
        <v>108</v>
      </c>
      <c r="I31" s="56">
        <f t="shared" si="6"/>
        <v>216</v>
      </c>
      <c r="J31" s="57">
        <f t="shared" si="7"/>
        <v>1416</v>
      </c>
    </row>
    <row r="32" spans="1:10" x14ac:dyDescent="0.25">
      <c r="A32" s="59" t="s">
        <v>135</v>
      </c>
      <c r="B32" s="46" t="s">
        <v>136</v>
      </c>
      <c r="C32" s="44" t="s">
        <v>210</v>
      </c>
      <c r="D32" s="44" t="s">
        <v>185</v>
      </c>
      <c r="E32" s="45">
        <v>8862</v>
      </c>
      <c r="F32" s="42">
        <v>18</v>
      </c>
      <c r="G32" s="56">
        <f t="shared" si="4"/>
        <v>798</v>
      </c>
      <c r="H32" s="56">
        <f t="shared" si="5"/>
        <v>798</v>
      </c>
      <c r="I32" s="56">
        <f t="shared" si="6"/>
        <v>1596</v>
      </c>
      <c r="J32" s="57">
        <f t="shared" si="7"/>
        <v>10458</v>
      </c>
    </row>
    <row r="33" spans="1:10" x14ac:dyDescent="0.25">
      <c r="A33" s="59" t="s">
        <v>135</v>
      </c>
      <c r="B33" s="46" t="s">
        <v>136</v>
      </c>
      <c r="C33" s="44" t="s">
        <v>211</v>
      </c>
      <c r="D33" s="44" t="s">
        <v>185</v>
      </c>
      <c r="E33" s="45">
        <v>2160</v>
      </c>
      <c r="F33" s="42">
        <v>18</v>
      </c>
      <c r="G33" s="56">
        <v>194</v>
      </c>
      <c r="H33" s="56">
        <v>194</v>
      </c>
      <c r="I33" s="56">
        <v>388</v>
      </c>
      <c r="J33" s="57">
        <v>2549</v>
      </c>
    </row>
    <row r="34" spans="1:10" x14ac:dyDescent="0.25">
      <c r="A34" s="59" t="s">
        <v>123</v>
      </c>
      <c r="B34" s="46" t="s">
        <v>124</v>
      </c>
      <c r="C34" s="44" t="s">
        <v>212</v>
      </c>
      <c r="D34" s="44" t="s">
        <v>185</v>
      </c>
      <c r="E34" s="45">
        <v>2110</v>
      </c>
      <c r="F34" s="42">
        <v>18</v>
      </c>
      <c r="G34" s="56">
        <v>189</v>
      </c>
      <c r="H34" s="56">
        <v>189</v>
      </c>
      <c r="I34" s="56">
        <v>378</v>
      </c>
      <c r="J34" s="57">
        <v>2490</v>
      </c>
    </row>
    <row r="35" spans="1:10" x14ac:dyDescent="0.25">
      <c r="A35" s="59" t="s">
        <v>135</v>
      </c>
      <c r="B35" s="46" t="s">
        <v>136</v>
      </c>
      <c r="C35" s="44" t="s">
        <v>213</v>
      </c>
      <c r="D35" s="44" t="s">
        <v>230</v>
      </c>
      <c r="E35" s="45">
        <v>700</v>
      </c>
      <c r="F35" s="42">
        <v>18</v>
      </c>
      <c r="G35" s="56">
        <f t="shared" si="4"/>
        <v>63</v>
      </c>
      <c r="H35" s="56">
        <f t="shared" si="5"/>
        <v>63</v>
      </c>
      <c r="I35" s="56">
        <f t="shared" si="6"/>
        <v>126</v>
      </c>
      <c r="J35" s="57">
        <f t="shared" si="7"/>
        <v>826</v>
      </c>
    </row>
    <row r="36" spans="1:10" x14ac:dyDescent="0.25">
      <c r="A36" s="59"/>
      <c r="B36" s="46"/>
      <c r="C36" s="44"/>
      <c r="D36" s="44"/>
      <c r="E36" s="45"/>
      <c r="F36" s="42">
        <v>18</v>
      </c>
      <c r="G36" s="56">
        <f t="shared" si="4"/>
        <v>0</v>
      </c>
      <c r="H36" s="56">
        <f t="shared" si="5"/>
        <v>0</v>
      </c>
      <c r="I36" s="56">
        <f t="shared" si="6"/>
        <v>0</v>
      </c>
      <c r="J36" s="57">
        <f t="shared" si="7"/>
        <v>0</v>
      </c>
    </row>
    <row r="37" spans="1:10" x14ac:dyDescent="0.25">
      <c r="A37" s="59"/>
      <c r="B37" s="46"/>
      <c r="C37" s="44"/>
      <c r="D37" s="44"/>
      <c r="E37" s="45"/>
      <c r="F37" s="42">
        <v>18</v>
      </c>
      <c r="G37" s="56">
        <f t="shared" si="4"/>
        <v>0</v>
      </c>
      <c r="H37" s="56">
        <f t="shared" si="5"/>
        <v>0</v>
      </c>
      <c r="I37" s="56">
        <f t="shared" si="6"/>
        <v>0</v>
      </c>
      <c r="J37" s="57">
        <f t="shared" si="7"/>
        <v>0</v>
      </c>
    </row>
    <row r="38" spans="1:10" x14ac:dyDescent="0.25">
      <c r="A38" s="59"/>
      <c r="B38" s="46"/>
      <c r="C38" s="51"/>
      <c r="D38" s="52"/>
      <c r="E38" s="53"/>
      <c r="F38" s="42">
        <v>18</v>
      </c>
      <c r="G38" s="56">
        <f t="shared" si="4"/>
        <v>0</v>
      </c>
      <c r="H38" s="56">
        <f t="shared" si="5"/>
        <v>0</v>
      </c>
      <c r="I38" s="56">
        <f t="shared" si="6"/>
        <v>0</v>
      </c>
      <c r="J38" s="57">
        <f t="shared" si="7"/>
        <v>0</v>
      </c>
    </row>
    <row r="39" spans="1:10" x14ac:dyDescent="0.25">
      <c r="A39" s="59"/>
      <c r="B39" s="46"/>
      <c r="C39" s="46"/>
      <c r="D39" s="44"/>
      <c r="E39" s="45"/>
      <c r="F39" s="42">
        <v>18</v>
      </c>
      <c r="G39" s="56">
        <f t="shared" si="4"/>
        <v>0</v>
      </c>
      <c r="H39" s="56">
        <f t="shared" si="5"/>
        <v>0</v>
      </c>
      <c r="I39" s="56">
        <f t="shared" si="6"/>
        <v>0</v>
      </c>
      <c r="J39" s="57">
        <f t="shared" si="7"/>
        <v>0</v>
      </c>
    </row>
    <row r="40" spans="1:10" x14ac:dyDescent="0.25">
      <c r="A40" s="59"/>
      <c r="B40" s="46"/>
      <c r="C40" s="46"/>
      <c r="D40" s="44"/>
      <c r="E40" s="45"/>
      <c r="F40" s="42">
        <v>18</v>
      </c>
      <c r="G40" s="56">
        <f t="shared" si="4"/>
        <v>0</v>
      </c>
      <c r="H40" s="56">
        <f t="shared" si="5"/>
        <v>0</v>
      </c>
      <c r="I40" s="56">
        <f t="shared" si="6"/>
        <v>0</v>
      </c>
      <c r="J40" s="57">
        <f t="shared" si="7"/>
        <v>0</v>
      </c>
    </row>
    <row r="41" spans="1:10" x14ac:dyDescent="0.25">
      <c r="A41" s="59"/>
      <c r="B41" s="46"/>
      <c r="C41" s="46"/>
      <c r="D41" s="44"/>
      <c r="E41" s="45"/>
      <c r="F41" s="42">
        <v>18</v>
      </c>
      <c r="G41" s="56">
        <f t="shared" si="4"/>
        <v>0</v>
      </c>
      <c r="H41" s="56">
        <f t="shared" si="5"/>
        <v>0</v>
      </c>
      <c r="I41" s="56">
        <f t="shared" si="6"/>
        <v>0</v>
      </c>
      <c r="J41" s="57">
        <f t="shared" si="7"/>
        <v>0</v>
      </c>
    </row>
    <row r="42" spans="1:10" x14ac:dyDescent="0.25">
      <c r="A42" s="49"/>
      <c r="B42" s="46"/>
      <c r="C42" s="46"/>
      <c r="D42" s="44"/>
      <c r="E42" s="45"/>
      <c r="F42" s="42">
        <v>18</v>
      </c>
      <c r="G42" s="56">
        <f t="shared" si="4"/>
        <v>0</v>
      </c>
      <c r="H42" s="56">
        <f t="shared" si="5"/>
        <v>0</v>
      </c>
      <c r="I42" s="56">
        <f t="shared" si="6"/>
        <v>0</v>
      </c>
      <c r="J42" s="57">
        <f t="shared" si="7"/>
        <v>0</v>
      </c>
    </row>
    <row r="43" spans="1:10" x14ac:dyDescent="0.25">
      <c r="A43" s="49"/>
      <c r="B43" s="46"/>
      <c r="C43" s="46"/>
      <c r="D43" s="44"/>
      <c r="E43" s="45"/>
      <c r="F43" s="42">
        <v>18</v>
      </c>
      <c r="G43" s="56">
        <f t="shared" si="4"/>
        <v>0</v>
      </c>
      <c r="H43" s="56">
        <f t="shared" si="5"/>
        <v>0</v>
      </c>
      <c r="I43" s="56">
        <f t="shared" si="6"/>
        <v>0</v>
      </c>
      <c r="J43" s="57">
        <f t="shared" si="7"/>
        <v>0</v>
      </c>
    </row>
    <row r="44" spans="1:10" x14ac:dyDescent="0.25">
      <c r="A44" s="49"/>
      <c r="B44" s="46"/>
      <c r="C44" s="46"/>
      <c r="D44" s="44"/>
      <c r="E44" s="45"/>
      <c r="F44" s="42">
        <v>18</v>
      </c>
      <c r="G44" s="56">
        <f t="shared" si="4"/>
        <v>0</v>
      </c>
      <c r="H44" s="56">
        <f t="shared" si="5"/>
        <v>0</v>
      </c>
      <c r="I44" s="56">
        <f t="shared" si="6"/>
        <v>0</v>
      </c>
      <c r="J44" s="57">
        <f t="shared" si="7"/>
        <v>0</v>
      </c>
    </row>
    <row r="45" spans="1:10" x14ac:dyDescent="0.25">
      <c r="A45" s="49"/>
      <c r="B45" s="46"/>
      <c r="C45" s="46"/>
      <c r="D45" s="44"/>
      <c r="E45" s="45"/>
      <c r="F45" s="42">
        <v>18</v>
      </c>
      <c r="G45" s="56">
        <f t="shared" si="4"/>
        <v>0</v>
      </c>
      <c r="H45" s="56">
        <f t="shared" si="5"/>
        <v>0</v>
      </c>
      <c r="I45" s="56">
        <f t="shared" si="6"/>
        <v>0</v>
      </c>
      <c r="J45" s="57">
        <f t="shared" si="7"/>
        <v>0</v>
      </c>
    </row>
    <row r="46" spans="1:10" x14ac:dyDescent="0.25">
      <c r="A46" s="49"/>
      <c r="B46" s="46"/>
      <c r="C46" s="46"/>
      <c r="D46" s="44"/>
      <c r="E46" s="45"/>
      <c r="F46" s="42">
        <v>18</v>
      </c>
      <c r="G46" s="56">
        <f t="shared" si="4"/>
        <v>0</v>
      </c>
      <c r="H46" s="56">
        <f t="shared" si="5"/>
        <v>0</v>
      </c>
      <c r="I46" s="56">
        <f t="shared" si="6"/>
        <v>0</v>
      </c>
      <c r="J46" s="57">
        <f t="shared" si="7"/>
        <v>0</v>
      </c>
    </row>
    <row r="47" spans="1:10" x14ac:dyDescent="0.25">
      <c r="A47" s="49"/>
      <c r="B47" s="46"/>
      <c r="C47" s="46"/>
      <c r="D47" s="44"/>
      <c r="E47" s="45"/>
      <c r="F47" s="42">
        <v>18</v>
      </c>
      <c r="G47" s="56">
        <f t="shared" si="4"/>
        <v>0</v>
      </c>
      <c r="H47" s="56">
        <f t="shared" si="5"/>
        <v>0</v>
      </c>
      <c r="I47" s="56">
        <f t="shared" si="6"/>
        <v>0</v>
      </c>
      <c r="J47" s="57">
        <f t="shared" si="7"/>
        <v>0</v>
      </c>
    </row>
    <row r="48" spans="1:10" x14ac:dyDescent="0.25">
      <c r="A48" s="49"/>
      <c r="B48" s="46"/>
      <c r="C48" s="46"/>
      <c r="D48" s="44"/>
      <c r="E48" s="45"/>
      <c r="F48" s="42">
        <v>18</v>
      </c>
      <c r="G48" s="56">
        <f t="shared" si="4"/>
        <v>0</v>
      </c>
      <c r="H48" s="56">
        <f t="shared" si="5"/>
        <v>0</v>
      </c>
      <c r="I48" s="56">
        <f t="shared" si="6"/>
        <v>0</v>
      </c>
      <c r="J48" s="57">
        <f t="shared" si="7"/>
        <v>0</v>
      </c>
    </row>
    <row r="49" spans="1:10" x14ac:dyDescent="0.25">
      <c r="A49" s="49"/>
      <c r="B49" s="46"/>
      <c r="C49" s="46"/>
      <c r="D49" s="44"/>
      <c r="E49" s="45"/>
      <c r="F49" s="42">
        <v>18</v>
      </c>
      <c r="G49" s="56">
        <f t="shared" si="4"/>
        <v>0</v>
      </c>
      <c r="H49" s="56">
        <f t="shared" si="5"/>
        <v>0</v>
      </c>
      <c r="I49" s="56">
        <f t="shared" si="6"/>
        <v>0</v>
      </c>
      <c r="J49" s="57">
        <f t="shared" si="7"/>
        <v>0</v>
      </c>
    </row>
    <row r="50" spans="1:10" x14ac:dyDescent="0.25">
      <c r="A50" s="49"/>
      <c r="B50" s="46"/>
      <c r="C50" s="46"/>
      <c r="D50" s="44"/>
      <c r="E50" s="45"/>
      <c r="F50" s="42">
        <v>18</v>
      </c>
      <c r="G50" s="56">
        <f t="shared" si="4"/>
        <v>0</v>
      </c>
      <c r="H50" s="56">
        <f t="shared" si="5"/>
        <v>0</v>
      </c>
      <c r="I50" s="56">
        <f t="shared" si="6"/>
        <v>0</v>
      </c>
      <c r="J50" s="57">
        <f t="shared" si="7"/>
        <v>0</v>
      </c>
    </row>
    <row r="51" spans="1:10" x14ac:dyDescent="0.25">
      <c r="A51" s="49"/>
      <c r="B51" s="46"/>
      <c r="C51" s="46"/>
      <c r="D51" s="44"/>
      <c r="E51" s="45"/>
      <c r="F51" s="42">
        <v>18</v>
      </c>
      <c r="G51" s="56">
        <f t="shared" si="4"/>
        <v>0</v>
      </c>
      <c r="H51" s="56">
        <f t="shared" si="5"/>
        <v>0</v>
      </c>
      <c r="I51" s="56">
        <f t="shared" si="6"/>
        <v>0</v>
      </c>
      <c r="J51" s="57">
        <f t="shared" si="7"/>
        <v>0</v>
      </c>
    </row>
    <row r="52" spans="1:10" x14ac:dyDescent="0.25">
      <c r="A52" s="49"/>
      <c r="B52" s="46"/>
      <c r="C52" s="46"/>
      <c r="D52" s="44"/>
      <c r="E52" s="45"/>
      <c r="F52" s="42">
        <v>18</v>
      </c>
      <c r="G52" s="56">
        <f t="shared" si="4"/>
        <v>0</v>
      </c>
      <c r="H52" s="56">
        <f t="shared" si="5"/>
        <v>0</v>
      </c>
      <c r="I52" s="56">
        <f t="shared" si="6"/>
        <v>0</v>
      </c>
      <c r="J52" s="57">
        <f t="shared" si="7"/>
        <v>0</v>
      </c>
    </row>
    <row r="53" spans="1:10" x14ac:dyDescent="0.25">
      <c r="A53" s="49"/>
      <c r="B53" s="46"/>
      <c r="C53" s="46"/>
      <c r="D53" s="44"/>
      <c r="E53" s="45"/>
      <c r="F53" s="42">
        <v>18</v>
      </c>
      <c r="G53" s="56">
        <f t="shared" si="4"/>
        <v>0</v>
      </c>
      <c r="H53" s="56">
        <f t="shared" si="5"/>
        <v>0</v>
      </c>
      <c r="I53" s="56">
        <f t="shared" si="6"/>
        <v>0</v>
      </c>
      <c r="J53" s="57">
        <f t="shared" si="7"/>
        <v>0</v>
      </c>
    </row>
    <row r="54" spans="1:10" x14ac:dyDescent="0.25">
      <c r="A54" s="49"/>
      <c r="B54" s="46"/>
      <c r="C54" s="46"/>
      <c r="D54" s="44"/>
      <c r="E54" s="45"/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49"/>
      <c r="B55" s="46"/>
      <c r="C55" s="46"/>
      <c r="D55" s="44"/>
      <c r="E55" s="45"/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49"/>
      <c r="B56" s="46"/>
      <c r="C56" s="46"/>
      <c r="D56" s="44"/>
      <c r="E56" s="45"/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49"/>
      <c r="B57" s="46"/>
      <c r="C57" s="46"/>
      <c r="D57" s="44"/>
      <c r="E57" s="45"/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49"/>
      <c r="B58" s="46"/>
      <c r="C58" s="46"/>
      <c r="D58" s="44"/>
      <c r="E58" s="45"/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49"/>
      <c r="B59" s="46"/>
      <c r="C59" s="46"/>
      <c r="D59" s="44"/>
      <c r="E59" s="45"/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49"/>
      <c r="B60" s="46"/>
      <c r="C60" s="46"/>
      <c r="D60" s="44"/>
      <c r="E60" s="45"/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</sheetData>
  <dataValidations count="4">
    <dataValidation type="custom" operator="lessThanOrEqual" allowBlank="1" showInputMessage="1" showErrorMessage="1" error="Please enter alphanumeric value of length less than or equal to 25.Do not enter any special character except . , - / and SPACE." sqref="D2:D11 D19:D20 D22:D60">
      <formula1>AD2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60">
      <formula1>AF2</formula1>
    </dataValidation>
    <dataValidation type="custom" allowBlank="1" showInputMessage="1" showErrorMessage="1" error="Please enter Numeric value having length less than or equal to 16 including decimal points. Do not enter Special characters." sqref="F2:F60">
      <formula1>AG2</formula1>
    </dataValidation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D21 D12:D18 B2:C60">
      <formula1>500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2"/>
  <sheetViews>
    <sheetView workbookViewId="0">
      <selection activeCell="A4" sqref="A4:B4"/>
    </sheetView>
  </sheetViews>
  <sheetFormatPr defaultRowHeight="15" x14ac:dyDescent="0.25"/>
  <cols>
    <col min="1" max="1" width="18.5703125" customWidth="1"/>
    <col min="2" max="2" width="39.28515625" customWidth="1"/>
    <col min="3" max="3" width="8" customWidth="1"/>
    <col min="4" max="4" width="10.7109375" customWidth="1"/>
    <col min="5" max="5" width="10.85546875" customWidth="1"/>
    <col min="7" max="7" width="9.7109375" customWidth="1"/>
    <col min="8" max="8" width="10.7109375" customWidth="1"/>
    <col min="9" max="9" width="10.42578125" customWidth="1"/>
    <col min="10" max="10" width="12.710937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114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48"/>
      <c r="B3" s="44"/>
      <c r="C3" s="44"/>
      <c r="D3" s="44"/>
      <c r="E3" s="45"/>
      <c r="F3" s="42">
        <v>28</v>
      </c>
      <c r="G3" s="56">
        <f t="shared" ref="G3:G5" si="0">ROUND((E3*F3%)/2,)</f>
        <v>0</v>
      </c>
      <c r="H3" s="56">
        <f t="shared" ref="H3:H5" si="1">G3</f>
        <v>0</v>
      </c>
      <c r="I3" s="56">
        <f t="shared" ref="I3:I5" si="2">G3+H3</f>
        <v>0</v>
      </c>
      <c r="J3" s="57">
        <f t="shared" ref="J3:J5" si="3">E3+I3</f>
        <v>0</v>
      </c>
    </row>
    <row r="4" spans="1:10" x14ac:dyDescent="0.25">
      <c r="A4" s="59" t="s">
        <v>123</v>
      </c>
      <c r="B4" s="46" t="s">
        <v>124</v>
      </c>
      <c r="C4" s="44" t="s">
        <v>232</v>
      </c>
      <c r="D4" s="44" t="s">
        <v>233</v>
      </c>
      <c r="E4" s="45">
        <v>6000</v>
      </c>
      <c r="F4" s="42">
        <v>18</v>
      </c>
      <c r="G4" s="56">
        <f t="shared" si="0"/>
        <v>540</v>
      </c>
      <c r="H4" s="56">
        <f t="shared" si="1"/>
        <v>540</v>
      </c>
      <c r="I4" s="56">
        <f t="shared" si="2"/>
        <v>1080</v>
      </c>
      <c r="J4" s="57">
        <f t="shared" si="3"/>
        <v>7080</v>
      </c>
    </row>
    <row r="5" spans="1:10" x14ac:dyDescent="0.25">
      <c r="A5" s="59" t="s">
        <v>123</v>
      </c>
      <c r="B5" s="46" t="s">
        <v>124</v>
      </c>
      <c r="C5" s="44" t="s">
        <v>234</v>
      </c>
      <c r="D5" s="44" t="s">
        <v>233</v>
      </c>
      <c r="E5" s="45">
        <v>1284</v>
      </c>
      <c r="F5" s="42">
        <v>18</v>
      </c>
      <c r="G5" s="56">
        <f t="shared" si="0"/>
        <v>116</v>
      </c>
      <c r="H5" s="56">
        <f t="shared" si="1"/>
        <v>116</v>
      </c>
      <c r="I5" s="56">
        <f t="shared" si="2"/>
        <v>232</v>
      </c>
      <c r="J5" s="57">
        <f t="shared" si="3"/>
        <v>1516</v>
      </c>
    </row>
    <row r="6" spans="1:10" x14ac:dyDescent="0.25">
      <c r="A6" s="59" t="s">
        <v>123</v>
      </c>
      <c r="B6" s="46" t="s">
        <v>124</v>
      </c>
      <c r="C6" s="44" t="s">
        <v>235</v>
      </c>
      <c r="D6" s="44" t="s">
        <v>236</v>
      </c>
      <c r="E6" s="45">
        <v>3200</v>
      </c>
      <c r="F6" s="42">
        <v>18</v>
      </c>
      <c r="G6" s="56">
        <f t="shared" ref="G6:G69" si="4">ROUND((E6*F6%)/2,)</f>
        <v>288</v>
      </c>
      <c r="H6" s="56">
        <f t="shared" ref="H6:H69" si="5">G6</f>
        <v>288</v>
      </c>
      <c r="I6" s="56">
        <f t="shared" ref="I6:I69" si="6">G6+H6</f>
        <v>576</v>
      </c>
      <c r="J6" s="57">
        <f t="shared" ref="J6:J69" si="7">E6+I6</f>
        <v>3776</v>
      </c>
    </row>
    <row r="7" spans="1:10" x14ac:dyDescent="0.25">
      <c r="A7" s="59" t="s">
        <v>123</v>
      </c>
      <c r="B7" s="46" t="s">
        <v>124</v>
      </c>
      <c r="C7" s="44" t="s">
        <v>237</v>
      </c>
      <c r="D7" s="44" t="s">
        <v>238</v>
      </c>
      <c r="E7" s="45">
        <v>2400</v>
      </c>
      <c r="F7" s="42">
        <v>18</v>
      </c>
      <c r="G7" s="56">
        <f t="shared" si="4"/>
        <v>216</v>
      </c>
      <c r="H7" s="56">
        <f t="shared" si="5"/>
        <v>216</v>
      </c>
      <c r="I7" s="56">
        <f t="shared" si="6"/>
        <v>432</v>
      </c>
      <c r="J7" s="57">
        <f t="shared" si="7"/>
        <v>2832</v>
      </c>
    </row>
    <row r="8" spans="1:10" x14ac:dyDescent="0.25">
      <c r="A8" s="59" t="s">
        <v>123</v>
      </c>
      <c r="B8" s="46" t="s">
        <v>124</v>
      </c>
      <c r="C8" s="44" t="s">
        <v>239</v>
      </c>
      <c r="D8" s="44" t="s">
        <v>240</v>
      </c>
      <c r="E8" s="45">
        <v>3600</v>
      </c>
      <c r="F8" s="42">
        <v>18</v>
      </c>
      <c r="G8" s="56">
        <f t="shared" si="4"/>
        <v>324</v>
      </c>
      <c r="H8" s="56">
        <f t="shared" si="5"/>
        <v>324</v>
      </c>
      <c r="I8" s="56">
        <f t="shared" si="6"/>
        <v>648</v>
      </c>
      <c r="J8" s="57">
        <f t="shared" si="7"/>
        <v>4248</v>
      </c>
    </row>
    <row r="9" spans="1:10" x14ac:dyDescent="0.25">
      <c r="A9" s="59" t="s">
        <v>123</v>
      </c>
      <c r="B9" s="46" t="s">
        <v>124</v>
      </c>
      <c r="C9" s="44" t="s">
        <v>241</v>
      </c>
      <c r="D9" s="44" t="s">
        <v>240</v>
      </c>
      <c r="E9" s="45">
        <v>1300</v>
      </c>
      <c r="F9" s="42">
        <v>18</v>
      </c>
      <c r="G9" s="56">
        <f t="shared" si="4"/>
        <v>117</v>
      </c>
      <c r="H9" s="56">
        <f t="shared" si="5"/>
        <v>117</v>
      </c>
      <c r="I9" s="56">
        <f t="shared" si="6"/>
        <v>234</v>
      </c>
      <c r="J9" s="57">
        <f t="shared" si="7"/>
        <v>1534</v>
      </c>
    </row>
    <row r="10" spans="1:10" x14ac:dyDescent="0.25">
      <c r="A10" s="59" t="s">
        <v>123</v>
      </c>
      <c r="B10" s="46" t="s">
        <v>124</v>
      </c>
      <c r="C10" s="44" t="s">
        <v>242</v>
      </c>
      <c r="D10" s="44" t="s">
        <v>243</v>
      </c>
      <c r="E10" s="45">
        <v>1236</v>
      </c>
      <c r="F10" s="42">
        <v>18</v>
      </c>
      <c r="G10" s="56">
        <f t="shared" si="4"/>
        <v>111</v>
      </c>
      <c r="H10" s="56">
        <f t="shared" si="5"/>
        <v>111</v>
      </c>
      <c r="I10" s="56">
        <f t="shared" si="6"/>
        <v>222</v>
      </c>
      <c r="J10" s="57">
        <f t="shared" si="7"/>
        <v>1458</v>
      </c>
    </row>
    <row r="11" spans="1:10" x14ac:dyDescent="0.25">
      <c r="A11" s="59" t="s">
        <v>127</v>
      </c>
      <c r="B11" s="46" t="s">
        <v>128</v>
      </c>
      <c r="C11" s="44" t="s">
        <v>244</v>
      </c>
      <c r="D11" s="44" t="s">
        <v>243</v>
      </c>
      <c r="E11" s="45">
        <v>6300</v>
      </c>
      <c r="F11" s="42">
        <v>18</v>
      </c>
      <c r="G11" s="56">
        <f t="shared" si="4"/>
        <v>567</v>
      </c>
      <c r="H11" s="56">
        <f t="shared" si="5"/>
        <v>567</v>
      </c>
      <c r="I11" s="56">
        <f t="shared" si="6"/>
        <v>1134</v>
      </c>
      <c r="J11" s="57">
        <f t="shared" si="7"/>
        <v>7434</v>
      </c>
    </row>
    <row r="12" spans="1:10" x14ac:dyDescent="0.25">
      <c r="A12" s="59" t="s">
        <v>127</v>
      </c>
      <c r="B12" s="46" t="s">
        <v>128</v>
      </c>
      <c r="C12" s="44" t="s">
        <v>245</v>
      </c>
      <c r="D12" s="44" t="s">
        <v>243</v>
      </c>
      <c r="E12" s="45">
        <v>9720</v>
      </c>
      <c r="F12" s="42">
        <v>18</v>
      </c>
      <c r="G12" s="56">
        <f t="shared" si="4"/>
        <v>875</v>
      </c>
      <c r="H12" s="56">
        <f t="shared" si="5"/>
        <v>875</v>
      </c>
      <c r="I12" s="56">
        <f t="shared" si="6"/>
        <v>1750</v>
      </c>
      <c r="J12" s="57">
        <f t="shared" si="7"/>
        <v>11470</v>
      </c>
    </row>
    <row r="13" spans="1:10" x14ac:dyDescent="0.25">
      <c r="A13" s="59" t="s">
        <v>123</v>
      </c>
      <c r="B13" s="46" t="s">
        <v>124</v>
      </c>
      <c r="C13" s="44" t="s">
        <v>246</v>
      </c>
      <c r="D13" s="44" t="s">
        <v>247</v>
      </c>
      <c r="E13" s="45">
        <v>1572</v>
      </c>
      <c r="F13" s="42">
        <v>18</v>
      </c>
      <c r="G13" s="56">
        <f t="shared" si="4"/>
        <v>141</v>
      </c>
      <c r="H13" s="56">
        <f t="shared" si="5"/>
        <v>141</v>
      </c>
      <c r="I13" s="56">
        <f t="shared" si="6"/>
        <v>282</v>
      </c>
      <c r="J13" s="57">
        <f t="shared" si="7"/>
        <v>1854</v>
      </c>
    </row>
    <row r="14" spans="1:10" x14ac:dyDescent="0.25">
      <c r="A14" s="59" t="s">
        <v>135</v>
      </c>
      <c r="B14" s="46" t="s">
        <v>136</v>
      </c>
      <c r="C14" s="44" t="s">
        <v>248</v>
      </c>
      <c r="D14" s="44" t="s">
        <v>249</v>
      </c>
      <c r="E14" s="45">
        <v>1320</v>
      </c>
      <c r="F14" s="42">
        <v>18</v>
      </c>
      <c r="G14" s="56">
        <f t="shared" si="4"/>
        <v>119</v>
      </c>
      <c r="H14" s="56">
        <f t="shared" si="5"/>
        <v>119</v>
      </c>
      <c r="I14" s="56">
        <f t="shared" si="6"/>
        <v>238</v>
      </c>
      <c r="J14" s="57">
        <f t="shared" si="7"/>
        <v>1558</v>
      </c>
    </row>
    <row r="15" spans="1:10" x14ac:dyDescent="0.25">
      <c r="A15" s="59" t="s">
        <v>123</v>
      </c>
      <c r="B15" s="46" t="s">
        <v>124</v>
      </c>
      <c r="C15" s="44" t="s">
        <v>250</v>
      </c>
      <c r="D15" s="44" t="s">
        <v>249</v>
      </c>
      <c r="E15" s="45">
        <v>1050</v>
      </c>
      <c r="F15" s="42">
        <v>18</v>
      </c>
      <c r="G15" s="56">
        <f t="shared" si="4"/>
        <v>95</v>
      </c>
      <c r="H15" s="56">
        <f t="shared" si="5"/>
        <v>95</v>
      </c>
      <c r="I15" s="56">
        <f t="shared" si="6"/>
        <v>190</v>
      </c>
      <c r="J15" s="57">
        <f t="shared" si="7"/>
        <v>1240</v>
      </c>
    </row>
    <row r="16" spans="1:10" x14ac:dyDescent="0.25">
      <c r="A16" s="59" t="s">
        <v>123</v>
      </c>
      <c r="B16" s="46" t="s">
        <v>124</v>
      </c>
      <c r="C16" s="44" t="s">
        <v>251</v>
      </c>
      <c r="D16" s="44" t="s">
        <v>252</v>
      </c>
      <c r="E16" s="45">
        <v>700</v>
      </c>
      <c r="F16" s="42">
        <v>18</v>
      </c>
      <c r="G16" s="56">
        <f t="shared" si="4"/>
        <v>63</v>
      </c>
      <c r="H16" s="56">
        <f t="shared" si="5"/>
        <v>63</v>
      </c>
      <c r="I16" s="56">
        <f t="shared" si="6"/>
        <v>126</v>
      </c>
      <c r="J16" s="57">
        <f t="shared" si="7"/>
        <v>826</v>
      </c>
    </row>
    <row r="17" spans="1:10" x14ac:dyDescent="0.25">
      <c r="A17" s="59" t="s">
        <v>123</v>
      </c>
      <c r="B17" s="46" t="s">
        <v>124</v>
      </c>
      <c r="C17" s="44" t="s">
        <v>253</v>
      </c>
      <c r="D17" s="44" t="s">
        <v>254</v>
      </c>
      <c r="E17" s="45">
        <v>1200</v>
      </c>
      <c r="F17" s="42">
        <v>18</v>
      </c>
      <c r="G17" s="56">
        <f t="shared" si="4"/>
        <v>108</v>
      </c>
      <c r="H17" s="56">
        <f t="shared" si="5"/>
        <v>108</v>
      </c>
      <c r="I17" s="56">
        <f t="shared" si="6"/>
        <v>216</v>
      </c>
      <c r="J17" s="57">
        <f t="shared" si="7"/>
        <v>1416</v>
      </c>
    </row>
    <row r="18" spans="1:10" x14ac:dyDescent="0.25">
      <c r="A18" s="59" t="s">
        <v>255</v>
      </c>
      <c r="B18" s="46" t="s">
        <v>256</v>
      </c>
      <c r="C18" s="44" t="s">
        <v>257</v>
      </c>
      <c r="D18" s="44" t="s">
        <v>254</v>
      </c>
      <c r="E18" s="45">
        <v>12800</v>
      </c>
      <c r="F18" s="42">
        <v>18</v>
      </c>
      <c r="G18" s="56">
        <f t="shared" si="4"/>
        <v>1152</v>
      </c>
      <c r="H18" s="56">
        <f t="shared" si="5"/>
        <v>1152</v>
      </c>
      <c r="I18" s="56">
        <f t="shared" si="6"/>
        <v>2304</v>
      </c>
      <c r="J18" s="57">
        <f t="shared" si="7"/>
        <v>15104</v>
      </c>
    </row>
    <row r="19" spans="1:10" x14ac:dyDescent="0.25">
      <c r="A19" s="59" t="s">
        <v>135</v>
      </c>
      <c r="B19" s="46" t="s">
        <v>136</v>
      </c>
      <c r="C19" s="44" t="s">
        <v>258</v>
      </c>
      <c r="D19" s="44" t="s">
        <v>259</v>
      </c>
      <c r="E19" s="45">
        <v>6840</v>
      </c>
      <c r="F19" s="42">
        <v>18</v>
      </c>
      <c r="G19" s="56">
        <f t="shared" si="4"/>
        <v>616</v>
      </c>
      <c r="H19" s="56">
        <f t="shared" si="5"/>
        <v>616</v>
      </c>
      <c r="I19" s="56">
        <f t="shared" si="6"/>
        <v>1232</v>
      </c>
      <c r="J19" s="57">
        <f t="shared" si="7"/>
        <v>8072</v>
      </c>
    </row>
    <row r="20" spans="1:10" x14ac:dyDescent="0.25">
      <c r="A20" s="59" t="s">
        <v>123</v>
      </c>
      <c r="B20" s="46" t="s">
        <v>124</v>
      </c>
      <c r="C20" s="44" t="s">
        <v>260</v>
      </c>
      <c r="D20" s="44" t="s">
        <v>261</v>
      </c>
      <c r="E20" s="45">
        <v>1200</v>
      </c>
      <c r="F20" s="42">
        <v>18</v>
      </c>
      <c r="G20" s="56">
        <f t="shared" si="4"/>
        <v>108</v>
      </c>
      <c r="H20" s="56">
        <f t="shared" si="5"/>
        <v>108</v>
      </c>
      <c r="I20" s="56">
        <f t="shared" si="6"/>
        <v>216</v>
      </c>
      <c r="J20" s="57">
        <f t="shared" si="7"/>
        <v>1416</v>
      </c>
    </row>
    <row r="21" spans="1:10" x14ac:dyDescent="0.25">
      <c r="A21" s="59" t="s">
        <v>255</v>
      </c>
      <c r="B21" s="46" t="s">
        <v>256</v>
      </c>
      <c r="C21" s="44" t="s">
        <v>262</v>
      </c>
      <c r="D21" s="44" t="s">
        <v>263</v>
      </c>
      <c r="E21" s="45">
        <v>8800</v>
      </c>
      <c r="F21" s="42">
        <v>18</v>
      </c>
      <c r="G21" s="56">
        <f t="shared" si="4"/>
        <v>792</v>
      </c>
      <c r="H21" s="56">
        <f t="shared" si="5"/>
        <v>792</v>
      </c>
      <c r="I21" s="56">
        <f t="shared" si="6"/>
        <v>1584</v>
      </c>
      <c r="J21" s="57">
        <f t="shared" si="7"/>
        <v>10384</v>
      </c>
    </row>
    <row r="22" spans="1:10" x14ac:dyDescent="0.25">
      <c r="A22" s="59" t="s">
        <v>123</v>
      </c>
      <c r="B22" s="46" t="s">
        <v>124</v>
      </c>
      <c r="C22" s="44" t="s">
        <v>264</v>
      </c>
      <c r="D22" s="44" t="s">
        <v>261</v>
      </c>
      <c r="E22" s="45">
        <v>4540</v>
      </c>
      <c r="F22" s="42">
        <v>18</v>
      </c>
      <c r="G22" s="56">
        <f t="shared" si="4"/>
        <v>409</v>
      </c>
      <c r="H22" s="56">
        <f t="shared" si="5"/>
        <v>409</v>
      </c>
      <c r="I22" s="56">
        <f t="shared" si="6"/>
        <v>818</v>
      </c>
      <c r="J22" s="57">
        <f t="shared" si="7"/>
        <v>5358</v>
      </c>
    </row>
    <row r="23" spans="1:10" x14ac:dyDescent="0.25">
      <c r="A23" s="59" t="s">
        <v>127</v>
      </c>
      <c r="B23" s="46" t="s">
        <v>128</v>
      </c>
      <c r="C23" s="44" t="s">
        <v>265</v>
      </c>
      <c r="D23" s="44" t="s">
        <v>266</v>
      </c>
      <c r="E23" s="45">
        <v>2200</v>
      </c>
      <c r="F23" s="42">
        <v>18</v>
      </c>
      <c r="G23" s="56">
        <f t="shared" si="4"/>
        <v>198</v>
      </c>
      <c r="H23" s="56">
        <f t="shared" si="5"/>
        <v>198</v>
      </c>
      <c r="I23" s="56">
        <f t="shared" si="6"/>
        <v>396</v>
      </c>
      <c r="J23" s="57">
        <f t="shared" si="7"/>
        <v>2596</v>
      </c>
    </row>
    <row r="24" spans="1:10" x14ac:dyDescent="0.25">
      <c r="A24" s="59" t="s">
        <v>127</v>
      </c>
      <c r="B24" s="46" t="s">
        <v>128</v>
      </c>
      <c r="C24" s="44" t="s">
        <v>267</v>
      </c>
      <c r="D24" s="44" t="s">
        <v>268</v>
      </c>
      <c r="E24" s="45">
        <v>2400</v>
      </c>
      <c r="F24" s="42">
        <v>18</v>
      </c>
      <c r="G24" s="56">
        <f t="shared" si="4"/>
        <v>216</v>
      </c>
      <c r="H24" s="56">
        <f t="shared" si="5"/>
        <v>216</v>
      </c>
      <c r="I24" s="56">
        <f t="shared" si="6"/>
        <v>432</v>
      </c>
      <c r="J24" s="57">
        <f t="shared" si="7"/>
        <v>2832</v>
      </c>
    </row>
    <row r="25" spans="1:10" x14ac:dyDescent="0.25">
      <c r="A25" s="59" t="s">
        <v>135</v>
      </c>
      <c r="B25" s="46" t="s">
        <v>136</v>
      </c>
      <c r="C25" s="44" t="s">
        <v>269</v>
      </c>
      <c r="D25" s="44" t="s">
        <v>270</v>
      </c>
      <c r="E25" s="45">
        <v>12060</v>
      </c>
      <c r="F25" s="42">
        <v>18</v>
      </c>
      <c r="G25" s="56">
        <f t="shared" si="4"/>
        <v>1085</v>
      </c>
      <c r="H25" s="56">
        <f t="shared" si="5"/>
        <v>1085</v>
      </c>
      <c r="I25" s="56">
        <f t="shared" si="6"/>
        <v>2170</v>
      </c>
      <c r="J25" s="57">
        <f t="shared" si="7"/>
        <v>14230</v>
      </c>
    </row>
    <row r="26" spans="1:10" x14ac:dyDescent="0.25">
      <c r="A26" s="59" t="s">
        <v>123</v>
      </c>
      <c r="B26" s="46" t="s">
        <v>124</v>
      </c>
      <c r="C26" s="44" t="s">
        <v>271</v>
      </c>
      <c r="D26" s="44" t="s">
        <v>272</v>
      </c>
      <c r="E26" s="45">
        <v>2000</v>
      </c>
      <c r="F26" s="42">
        <v>18</v>
      </c>
      <c r="G26" s="56">
        <f t="shared" si="4"/>
        <v>180</v>
      </c>
      <c r="H26" s="56">
        <f t="shared" si="5"/>
        <v>180</v>
      </c>
      <c r="I26" s="56">
        <f t="shared" si="6"/>
        <v>360</v>
      </c>
      <c r="J26" s="57">
        <f t="shared" si="7"/>
        <v>2360</v>
      </c>
    </row>
    <row r="27" spans="1:10" x14ac:dyDescent="0.25">
      <c r="A27" s="59" t="s">
        <v>123</v>
      </c>
      <c r="B27" s="46" t="s">
        <v>124</v>
      </c>
      <c r="C27" s="44" t="s">
        <v>273</v>
      </c>
      <c r="D27" s="44" t="s">
        <v>272</v>
      </c>
      <c r="E27" s="45">
        <v>175</v>
      </c>
      <c r="F27" s="42">
        <v>18</v>
      </c>
      <c r="G27" s="56">
        <f t="shared" si="4"/>
        <v>16</v>
      </c>
      <c r="H27" s="56">
        <f t="shared" si="5"/>
        <v>16</v>
      </c>
      <c r="I27" s="56">
        <f t="shared" si="6"/>
        <v>32</v>
      </c>
      <c r="J27" s="57">
        <f t="shared" si="7"/>
        <v>207</v>
      </c>
    </row>
    <row r="28" spans="1:10" x14ac:dyDescent="0.25">
      <c r="A28" s="59" t="s">
        <v>123</v>
      </c>
      <c r="B28" s="46" t="s">
        <v>124</v>
      </c>
      <c r="C28" s="44" t="s">
        <v>274</v>
      </c>
      <c r="D28" s="44" t="s">
        <v>275</v>
      </c>
      <c r="E28" s="45">
        <v>1200</v>
      </c>
      <c r="F28" s="42">
        <v>18</v>
      </c>
      <c r="G28" s="56">
        <f t="shared" si="4"/>
        <v>108</v>
      </c>
      <c r="H28" s="56">
        <f t="shared" si="5"/>
        <v>108</v>
      </c>
      <c r="I28" s="56">
        <f t="shared" si="6"/>
        <v>216</v>
      </c>
      <c r="J28" s="57">
        <f t="shared" si="7"/>
        <v>1416</v>
      </c>
    </row>
    <row r="29" spans="1:10" x14ac:dyDescent="0.25">
      <c r="A29" s="59" t="s">
        <v>123</v>
      </c>
      <c r="B29" s="46" t="s">
        <v>124</v>
      </c>
      <c r="C29" s="44" t="s">
        <v>276</v>
      </c>
      <c r="D29" s="44" t="s">
        <v>277</v>
      </c>
      <c r="E29" s="45">
        <v>1697</v>
      </c>
      <c r="F29" s="42">
        <v>18</v>
      </c>
      <c r="G29" s="56">
        <f t="shared" si="4"/>
        <v>153</v>
      </c>
      <c r="H29" s="56">
        <f t="shared" si="5"/>
        <v>153</v>
      </c>
      <c r="I29" s="56">
        <f t="shared" si="6"/>
        <v>306</v>
      </c>
      <c r="J29" s="57">
        <f t="shared" si="7"/>
        <v>2003</v>
      </c>
    </row>
    <row r="30" spans="1:10" x14ac:dyDescent="0.25">
      <c r="A30" s="59" t="s">
        <v>135</v>
      </c>
      <c r="B30" s="46" t="s">
        <v>136</v>
      </c>
      <c r="C30" s="44" t="s">
        <v>278</v>
      </c>
      <c r="D30" s="44" t="s">
        <v>277</v>
      </c>
      <c r="E30" s="45">
        <v>625</v>
      </c>
      <c r="F30" s="42">
        <v>18</v>
      </c>
      <c r="G30" s="56">
        <f t="shared" si="4"/>
        <v>56</v>
      </c>
      <c r="H30" s="56">
        <f t="shared" si="5"/>
        <v>56</v>
      </c>
      <c r="I30" s="56">
        <f t="shared" si="6"/>
        <v>112</v>
      </c>
      <c r="J30" s="57">
        <f t="shared" si="7"/>
        <v>737</v>
      </c>
    </row>
    <row r="31" spans="1:10" x14ac:dyDescent="0.25">
      <c r="A31" s="59" t="s">
        <v>123</v>
      </c>
      <c r="B31" s="46" t="s">
        <v>124</v>
      </c>
      <c r="C31" s="44" t="s">
        <v>279</v>
      </c>
      <c r="D31" s="44" t="s">
        <v>280</v>
      </c>
      <c r="E31" s="45">
        <v>1104</v>
      </c>
      <c r="F31" s="42">
        <v>18</v>
      </c>
      <c r="G31" s="56">
        <f t="shared" si="4"/>
        <v>99</v>
      </c>
      <c r="H31" s="56">
        <f t="shared" si="5"/>
        <v>99</v>
      </c>
      <c r="I31" s="56">
        <f t="shared" si="6"/>
        <v>198</v>
      </c>
      <c r="J31" s="57">
        <f t="shared" si="7"/>
        <v>1302</v>
      </c>
    </row>
    <row r="32" spans="1:10" x14ac:dyDescent="0.25">
      <c r="A32" s="59" t="s">
        <v>127</v>
      </c>
      <c r="B32" s="46" t="s">
        <v>128</v>
      </c>
      <c r="C32" s="44" t="s">
        <v>281</v>
      </c>
      <c r="D32" s="44" t="s">
        <v>280</v>
      </c>
      <c r="E32" s="45">
        <v>650</v>
      </c>
      <c r="F32" s="42">
        <v>18</v>
      </c>
      <c r="G32" s="56">
        <f t="shared" si="4"/>
        <v>59</v>
      </c>
      <c r="H32" s="56">
        <f t="shared" si="5"/>
        <v>59</v>
      </c>
      <c r="I32" s="56">
        <f t="shared" si="6"/>
        <v>118</v>
      </c>
      <c r="J32" s="57">
        <f t="shared" si="7"/>
        <v>768</v>
      </c>
    </row>
    <row r="33" spans="1:10" x14ac:dyDescent="0.25">
      <c r="A33" s="59" t="s">
        <v>127</v>
      </c>
      <c r="B33" s="46" t="s">
        <v>128</v>
      </c>
      <c r="C33" s="44" t="s">
        <v>282</v>
      </c>
      <c r="D33" s="44" t="s">
        <v>283</v>
      </c>
      <c r="E33" s="45">
        <v>3000</v>
      </c>
      <c r="F33" s="42">
        <v>18</v>
      </c>
      <c r="G33" s="56">
        <f t="shared" si="4"/>
        <v>270</v>
      </c>
      <c r="H33" s="56">
        <f t="shared" si="5"/>
        <v>270</v>
      </c>
      <c r="I33" s="56">
        <f t="shared" si="6"/>
        <v>540</v>
      </c>
      <c r="J33" s="57">
        <f t="shared" si="7"/>
        <v>3540</v>
      </c>
    </row>
    <row r="34" spans="1:10" x14ac:dyDescent="0.25">
      <c r="A34" s="59" t="s">
        <v>135</v>
      </c>
      <c r="B34" s="46" t="s">
        <v>136</v>
      </c>
      <c r="C34" s="44" t="s">
        <v>284</v>
      </c>
      <c r="D34" s="44" t="s">
        <v>285</v>
      </c>
      <c r="E34" s="45">
        <v>6552</v>
      </c>
      <c r="F34" s="42">
        <v>18</v>
      </c>
      <c r="G34" s="56">
        <f t="shared" si="4"/>
        <v>590</v>
      </c>
      <c r="H34" s="56">
        <f t="shared" si="5"/>
        <v>590</v>
      </c>
      <c r="I34" s="56">
        <f t="shared" si="6"/>
        <v>1180</v>
      </c>
      <c r="J34" s="57">
        <f t="shared" si="7"/>
        <v>7732</v>
      </c>
    </row>
    <row r="35" spans="1:10" x14ac:dyDescent="0.25">
      <c r="A35" s="59" t="s">
        <v>135</v>
      </c>
      <c r="B35" s="46" t="s">
        <v>136</v>
      </c>
      <c r="C35" s="44" t="s">
        <v>286</v>
      </c>
      <c r="D35" s="44" t="s">
        <v>285</v>
      </c>
      <c r="E35" s="45">
        <v>600</v>
      </c>
      <c r="F35" s="42">
        <v>18</v>
      </c>
      <c r="G35" s="56">
        <f t="shared" si="4"/>
        <v>54</v>
      </c>
      <c r="H35" s="56">
        <f t="shared" si="5"/>
        <v>54</v>
      </c>
      <c r="I35" s="56">
        <f t="shared" si="6"/>
        <v>108</v>
      </c>
      <c r="J35" s="57">
        <f t="shared" si="7"/>
        <v>708</v>
      </c>
    </row>
    <row r="36" spans="1:10" x14ac:dyDescent="0.25">
      <c r="A36" s="59" t="s">
        <v>123</v>
      </c>
      <c r="B36" s="46" t="s">
        <v>124</v>
      </c>
      <c r="C36" s="44" t="s">
        <v>287</v>
      </c>
      <c r="D36" s="44" t="s">
        <v>266</v>
      </c>
      <c r="E36" s="45">
        <v>2000</v>
      </c>
      <c r="F36" s="42">
        <v>18</v>
      </c>
      <c r="G36" s="56">
        <f t="shared" si="4"/>
        <v>180</v>
      </c>
      <c r="H36" s="56">
        <f t="shared" si="5"/>
        <v>180</v>
      </c>
      <c r="I36" s="56">
        <f t="shared" si="6"/>
        <v>360</v>
      </c>
      <c r="J36" s="57">
        <f t="shared" si="7"/>
        <v>2360</v>
      </c>
    </row>
    <row r="37" spans="1:10" x14ac:dyDescent="0.25">
      <c r="A37" s="48"/>
      <c r="B37" s="44"/>
      <c r="C37" s="44"/>
      <c r="D37" s="44"/>
      <c r="E37" s="45"/>
      <c r="F37" s="42">
        <v>18</v>
      </c>
      <c r="G37" s="56">
        <f t="shared" si="4"/>
        <v>0</v>
      </c>
      <c r="H37" s="56">
        <f t="shared" si="5"/>
        <v>0</v>
      </c>
      <c r="I37" s="56">
        <f t="shared" si="6"/>
        <v>0</v>
      </c>
      <c r="J37" s="57">
        <f t="shared" si="7"/>
        <v>0</v>
      </c>
    </row>
    <row r="38" spans="1:10" x14ac:dyDescent="0.25">
      <c r="A38" s="48"/>
      <c r="B38" s="44"/>
      <c r="C38" s="44"/>
      <c r="D38" s="44"/>
      <c r="E38" s="45"/>
      <c r="F38" s="42">
        <v>18</v>
      </c>
      <c r="G38" s="56">
        <f t="shared" si="4"/>
        <v>0</v>
      </c>
      <c r="H38" s="56">
        <f t="shared" si="5"/>
        <v>0</v>
      </c>
      <c r="I38" s="56">
        <f t="shared" si="6"/>
        <v>0</v>
      </c>
      <c r="J38" s="57">
        <f t="shared" si="7"/>
        <v>0</v>
      </c>
    </row>
    <row r="39" spans="1:10" x14ac:dyDescent="0.25">
      <c r="A39" s="48"/>
      <c r="B39" s="44"/>
      <c r="C39" s="44"/>
      <c r="D39" s="44"/>
      <c r="E39" s="45"/>
      <c r="F39" s="42">
        <v>18</v>
      </c>
      <c r="G39" s="56">
        <f t="shared" si="4"/>
        <v>0</v>
      </c>
      <c r="H39" s="56">
        <f t="shared" si="5"/>
        <v>0</v>
      </c>
      <c r="I39" s="56">
        <f t="shared" si="6"/>
        <v>0</v>
      </c>
      <c r="J39" s="57">
        <f t="shared" si="7"/>
        <v>0</v>
      </c>
    </row>
    <row r="40" spans="1:10" x14ac:dyDescent="0.25">
      <c r="A40" s="48"/>
      <c r="B40" s="44"/>
      <c r="C40" s="44"/>
      <c r="D40" s="44"/>
      <c r="E40" s="45"/>
      <c r="F40" s="42">
        <v>18</v>
      </c>
      <c r="G40" s="56">
        <f t="shared" si="4"/>
        <v>0</v>
      </c>
      <c r="H40" s="56">
        <f t="shared" si="5"/>
        <v>0</v>
      </c>
      <c r="I40" s="56">
        <f t="shared" si="6"/>
        <v>0</v>
      </c>
      <c r="J40" s="57">
        <f t="shared" si="7"/>
        <v>0</v>
      </c>
    </row>
    <row r="41" spans="1:10" x14ac:dyDescent="0.25">
      <c r="A41" s="48"/>
      <c r="B41" s="44"/>
      <c r="C41" s="44"/>
      <c r="D41" s="44"/>
      <c r="E41" s="45"/>
      <c r="F41" s="42">
        <v>18</v>
      </c>
      <c r="G41" s="56">
        <f t="shared" si="4"/>
        <v>0</v>
      </c>
      <c r="H41" s="56">
        <f t="shared" si="5"/>
        <v>0</v>
      </c>
      <c r="I41" s="56">
        <f t="shared" si="6"/>
        <v>0</v>
      </c>
      <c r="J41" s="57">
        <f t="shared" si="7"/>
        <v>0</v>
      </c>
    </row>
    <row r="42" spans="1:10" x14ac:dyDescent="0.25">
      <c r="A42" s="48"/>
      <c r="B42" s="44"/>
      <c r="C42" s="44"/>
      <c r="D42" s="44"/>
      <c r="E42" s="45"/>
      <c r="F42" s="42">
        <v>18</v>
      </c>
      <c r="G42" s="56">
        <f t="shared" si="4"/>
        <v>0</v>
      </c>
      <c r="H42" s="56">
        <f t="shared" si="5"/>
        <v>0</v>
      </c>
      <c r="I42" s="56">
        <f t="shared" si="6"/>
        <v>0</v>
      </c>
      <c r="J42" s="57">
        <f t="shared" si="7"/>
        <v>0</v>
      </c>
    </row>
    <row r="43" spans="1:10" x14ac:dyDescent="0.25">
      <c r="A43" s="48"/>
      <c r="B43" s="44"/>
      <c r="C43" s="44"/>
      <c r="D43" s="44"/>
      <c r="E43" s="45"/>
      <c r="F43" s="42">
        <v>18</v>
      </c>
      <c r="G43" s="56">
        <f t="shared" si="4"/>
        <v>0</v>
      </c>
      <c r="H43" s="56">
        <f t="shared" si="5"/>
        <v>0</v>
      </c>
      <c r="I43" s="56">
        <f t="shared" si="6"/>
        <v>0</v>
      </c>
      <c r="J43" s="57">
        <f t="shared" si="7"/>
        <v>0</v>
      </c>
    </row>
    <row r="44" spans="1:10" x14ac:dyDescent="0.25">
      <c r="A44" s="48"/>
      <c r="B44" s="44"/>
      <c r="C44" s="44"/>
      <c r="D44" s="44"/>
      <c r="E44" s="45"/>
      <c r="F44" s="42">
        <v>18</v>
      </c>
      <c r="G44" s="56">
        <f t="shared" si="4"/>
        <v>0</v>
      </c>
      <c r="H44" s="56">
        <f t="shared" si="5"/>
        <v>0</v>
      </c>
      <c r="I44" s="56">
        <f t="shared" si="6"/>
        <v>0</v>
      </c>
      <c r="J44" s="57">
        <f t="shared" si="7"/>
        <v>0</v>
      </c>
    </row>
    <row r="45" spans="1:10" x14ac:dyDescent="0.25">
      <c r="A45" s="48"/>
      <c r="B45" s="44"/>
      <c r="C45" s="44"/>
      <c r="D45" s="44"/>
      <c r="E45" s="45"/>
      <c r="F45" s="42">
        <v>18</v>
      </c>
      <c r="G45" s="56">
        <f t="shared" si="4"/>
        <v>0</v>
      </c>
      <c r="H45" s="56">
        <f t="shared" si="5"/>
        <v>0</v>
      </c>
      <c r="I45" s="56">
        <f t="shared" si="6"/>
        <v>0</v>
      </c>
      <c r="J45" s="57">
        <f t="shared" si="7"/>
        <v>0</v>
      </c>
    </row>
    <row r="46" spans="1:10" x14ac:dyDescent="0.25">
      <c r="A46" s="48"/>
      <c r="B46" s="44"/>
      <c r="C46" s="44"/>
      <c r="D46" s="44"/>
      <c r="E46" s="45"/>
      <c r="F46" s="42">
        <v>18</v>
      </c>
      <c r="G46" s="56">
        <f t="shared" si="4"/>
        <v>0</v>
      </c>
      <c r="H46" s="56">
        <f t="shared" si="5"/>
        <v>0</v>
      </c>
      <c r="I46" s="56">
        <f t="shared" si="6"/>
        <v>0</v>
      </c>
      <c r="J46" s="57">
        <f t="shared" si="7"/>
        <v>0</v>
      </c>
    </row>
    <row r="47" spans="1:10" x14ac:dyDescent="0.25">
      <c r="A47" s="48"/>
      <c r="B47" s="44"/>
      <c r="C47" s="44"/>
      <c r="D47" s="44"/>
      <c r="E47" s="45"/>
      <c r="F47" s="42">
        <v>18</v>
      </c>
      <c r="G47" s="56">
        <f t="shared" si="4"/>
        <v>0</v>
      </c>
      <c r="H47" s="56">
        <f t="shared" si="5"/>
        <v>0</v>
      </c>
      <c r="I47" s="56">
        <f t="shared" si="6"/>
        <v>0</v>
      </c>
      <c r="J47" s="57">
        <f t="shared" si="7"/>
        <v>0</v>
      </c>
    </row>
    <row r="48" spans="1:10" x14ac:dyDescent="0.25">
      <c r="A48" s="48"/>
      <c r="B48" s="44"/>
      <c r="C48" s="44"/>
      <c r="D48" s="44"/>
      <c r="E48" s="45"/>
      <c r="F48" s="42">
        <v>18</v>
      </c>
      <c r="G48" s="56">
        <f t="shared" si="4"/>
        <v>0</v>
      </c>
      <c r="H48" s="56">
        <f t="shared" si="5"/>
        <v>0</v>
      </c>
      <c r="I48" s="56">
        <f t="shared" si="6"/>
        <v>0</v>
      </c>
      <c r="J48" s="57">
        <f t="shared" si="7"/>
        <v>0</v>
      </c>
    </row>
    <row r="49" spans="1:10" x14ac:dyDescent="0.25">
      <c r="A49" s="48"/>
      <c r="B49" s="44"/>
      <c r="C49" s="44"/>
      <c r="D49" s="44"/>
      <c r="E49" s="45"/>
      <c r="F49" s="42">
        <v>18</v>
      </c>
      <c r="G49" s="56">
        <f t="shared" si="4"/>
        <v>0</v>
      </c>
      <c r="H49" s="56">
        <f t="shared" si="5"/>
        <v>0</v>
      </c>
      <c r="I49" s="56">
        <f t="shared" si="6"/>
        <v>0</v>
      </c>
      <c r="J49" s="57">
        <f t="shared" si="7"/>
        <v>0</v>
      </c>
    </row>
    <row r="50" spans="1:10" x14ac:dyDescent="0.25">
      <c r="A50" s="48"/>
      <c r="B50" s="44"/>
      <c r="C50" s="44"/>
      <c r="D50" s="44"/>
      <c r="E50" s="45"/>
      <c r="F50" s="42">
        <v>18</v>
      </c>
      <c r="G50" s="56">
        <f t="shared" si="4"/>
        <v>0</v>
      </c>
      <c r="H50" s="56">
        <f t="shared" si="5"/>
        <v>0</v>
      </c>
      <c r="I50" s="56">
        <f t="shared" si="6"/>
        <v>0</v>
      </c>
      <c r="J50" s="57">
        <f t="shared" si="7"/>
        <v>0</v>
      </c>
    </row>
    <row r="51" spans="1:10" x14ac:dyDescent="0.25">
      <c r="A51" s="48"/>
      <c r="B51" s="44"/>
      <c r="C51" s="44"/>
      <c r="D51" s="44"/>
      <c r="E51" s="45"/>
      <c r="F51" s="42">
        <v>18</v>
      </c>
      <c r="G51" s="56">
        <f t="shared" si="4"/>
        <v>0</v>
      </c>
      <c r="H51" s="56">
        <f t="shared" si="5"/>
        <v>0</v>
      </c>
      <c r="I51" s="56">
        <f t="shared" si="6"/>
        <v>0</v>
      </c>
      <c r="J51" s="57">
        <f t="shared" si="7"/>
        <v>0</v>
      </c>
    </row>
    <row r="52" spans="1:10" x14ac:dyDescent="0.25">
      <c r="A52" s="48"/>
      <c r="B52" s="44"/>
      <c r="C52" s="44"/>
      <c r="D52" s="44"/>
      <c r="E52" s="45"/>
      <c r="F52" s="42">
        <v>18</v>
      </c>
      <c r="G52" s="56">
        <f t="shared" si="4"/>
        <v>0</v>
      </c>
      <c r="H52" s="56">
        <f t="shared" si="5"/>
        <v>0</v>
      </c>
      <c r="I52" s="56">
        <f t="shared" si="6"/>
        <v>0</v>
      </c>
      <c r="J52" s="57">
        <f t="shared" si="7"/>
        <v>0</v>
      </c>
    </row>
    <row r="53" spans="1:10" x14ac:dyDescent="0.25">
      <c r="A53" s="48"/>
      <c r="B53" s="44"/>
      <c r="C53" s="44"/>
      <c r="D53" s="44"/>
      <c r="E53" s="45"/>
      <c r="F53" s="42">
        <v>18</v>
      </c>
      <c r="G53" s="56">
        <f t="shared" si="4"/>
        <v>0</v>
      </c>
      <c r="H53" s="56">
        <f t="shared" si="5"/>
        <v>0</v>
      </c>
      <c r="I53" s="56">
        <f t="shared" si="6"/>
        <v>0</v>
      </c>
      <c r="J53" s="57">
        <f t="shared" si="7"/>
        <v>0</v>
      </c>
    </row>
    <row r="54" spans="1:10" x14ac:dyDescent="0.25">
      <c r="A54" s="48"/>
      <c r="B54" s="44"/>
      <c r="C54" s="44"/>
      <c r="D54" s="44"/>
      <c r="E54" s="45"/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48"/>
      <c r="B55" s="44"/>
      <c r="C55" s="44"/>
      <c r="D55" s="44"/>
      <c r="E55" s="45"/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48"/>
      <c r="B56" s="44"/>
      <c r="C56" s="44"/>
      <c r="D56" s="44"/>
      <c r="E56" s="45"/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48"/>
      <c r="B57" s="44"/>
      <c r="C57" s="44"/>
      <c r="D57" s="44"/>
      <c r="E57" s="45"/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48"/>
      <c r="B58" s="44"/>
      <c r="C58" s="44"/>
      <c r="D58" s="44"/>
      <c r="E58" s="45"/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48"/>
      <c r="B59" s="44"/>
      <c r="C59" s="44"/>
      <c r="D59" s="44"/>
      <c r="E59" s="45"/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48"/>
      <c r="B60" s="44"/>
      <c r="C60" s="44"/>
      <c r="D60" s="44"/>
      <c r="E60" s="45"/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  <row r="61" spans="1:10" x14ac:dyDescent="0.25">
      <c r="A61" s="48"/>
      <c r="B61" s="44"/>
      <c r="C61" s="44"/>
      <c r="D61" s="44"/>
      <c r="E61" s="45"/>
      <c r="F61" s="42">
        <v>18</v>
      </c>
      <c r="G61" s="56">
        <f t="shared" si="4"/>
        <v>0</v>
      </c>
      <c r="H61" s="56">
        <f t="shared" si="5"/>
        <v>0</v>
      </c>
      <c r="I61" s="56">
        <f t="shared" si="6"/>
        <v>0</v>
      </c>
      <c r="J61" s="57">
        <f t="shared" si="7"/>
        <v>0</v>
      </c>
    </row>
    <row r="62" spans="1:10" x14ac:dyDescent="0.25">
      <c r="A62" s="48"/>
      <c r="B62" s="44"/>
      <c r="C62" s="44"/>
      <c r="D62" s="44"/>
      <c r="E62" s="45"/>
      <c r="F62" s="42">
        <v>18</v>
      </c>
      <c r="G62" s="56">
        <f t="shared" si="4"/>
        <v>0</v>
      </c>
      <c r="H62" s="56">
        <f t="shared" si="5"/>
        <v>0</v>
      </c>
      <c r="I62" s="56">
        <f t="shared" si="6"/>
        <v>0</v>
      </c>
      <c r="J62" s="57">
        <f t="shared" si="7"/>
        <v>0</v>
      </c>
    </row>
    <row r="63" spans="1:10" x14ac:dyDescent="0.25">
      <c r="A63" s="48"/>
      <c r="B63" s="44"/>
      <c r="C63" s="44"/>
      <c r="D63" s="44"/>
      <c r="E63" s="45"/>
      <c r="F63" s="42">
        <v>18</v>
      </c>
      <c r="G63" s="56">
        <f t="shared" si="4"/>
        <v>0</v>
      </c>
      <c r="H63" s="56">
        <f t="shared" si="5"/>
        <v>0</v>
      </c>
      <c r="I63" s="56">
        <f t="shared" si="6"/>
        <v>0</v>
      </c>
      <c r="J63" s="57">
        <f t="shared" si="7"/>
        <v>0</v>
      </c>
    </row>
    <row r="64" spans="1:10" x14ac:dyDescent="0.25">
      <c r="A64" s="48"/>
      <c r="B64" s="44"/>
      <c r="C64" s="44"/>
      <c r="D64" s="44"/>
      <c r="E64" s="45"/>
      <c r="F64" s="42">
        <v>18</v>
      </c>
      <c r="G64" s="56">
        <f t="shared" si="4"/>
        <v>0</v>
      </c>
      <c r="H64" s="56">
        <f t="shared" si="5"/>
        <v>0</v>
      </c>
      <c r="I64" s="56">
        <f t="shared" si="6"/>
        <v>0</v>
      </c>
      <c r="J64" s="57">
        <f t="shared" si="7"/>
        <v>0</v>
      </c>
    </row>
    <row r="65" spans="1:10" x14ac:dyDescent="0.25">
      <c r="A65" s="48"/>
      <c r="B65" s="44"/>
      <c r="C65" s="44"/>
      <c r="D65" s="44"/>
      <c r="E65" s="45"/>
      <c r="F65" s="42">
        <v>18</v>
      </c>
      <c r="G65" s="56">
        <f t="shared" si="4"/>
        <v>0</v>
      </c>
      <c r="H65" s="56">
        <f t="shared" si="5"/>
        <v>0</v>
      </c>
      <c r="I65" s="56">
        <f t="shared" si="6"/>
        <v>0</v>
      </c>
      <c r="J65" s="57">
        <f t="shared" si="7"/>
        <v>0</v>
      </c>
    </row>
    <row r="66" spans="1:10" x14ac:dyDescent="0.25">
      <c r="A66" s="48"/>
      <c r="B66" s="44"/>
      <c r="C66" s="44"/>
      <c r="D66" s="44"/>
      <c r="E66" s="45"/>
      <c r="F66" s="42">
        <v>18</v>
      </c>
      <c r="G66" s="56">
        <f t="shared" si="4"/>
        <v>0</v>
      </c>
      <c r="H66" s="56">
        <f t="shared" si="5"/>
        <v>0</v>
      </c>
      <c r="I66" s="56">
        <f t="shared" si="6"/>
        <v>0</v>
      </c>
      <c r="J66" s="57">
        <f t="shared" si="7"/>
        <v>0</v>
      </c>
    </row>
    <row r="67" spans="1:10" x14ac:dyDescent="0.25">
      <c r="A67" s="48"/>
      <c r="B67" s="44"/>
      <c r="C67" s="44"/>
      <c r="D67" s="44"/>
      <c r="E67" s="45"/>
      <c r="F67" s="42">
        <v>18</v>
      </c>
      <c r="G67" s="56">
        <f t="shared" si="4"/>
        <v>0</v>
      </c>
      <c r="H67" s="56">
        <f t="shared" si="5"/>
        <v>0</v>
      </c>
      <c r="I67" s="56">
        <f t="shared" si="6"/>
        <v>0</v>
      </c>
      <c r="J67" s="57">
        <f t="shared" si="7"/>
        <v>0</v>
      </c>
    </row>
    <row r="68" spans="1:10" x14ac:dyDescent="0.25">
      <c r="A68" s="48"/>
      <c r="B68" s="44"/>
      <c r="C68" s="44"/>
      <c r="D68" s="44"/>
      <c r="E68" s="45"/>
      <c r="F68" s="42">
        <v>18</v>
      </c>
      <c r="G68" s="56">
        <f t="shared" si="4"/>
        <v>0</v>
      </c>
      <c r="H68" s="56">
        <f t="shared" si="5"/>
        <v>0</v>
      </c>
      <c r="I68" s="56">
        <f t="shared" si="6"/>
        <v>0</v>
      </c>
      <c r="J68" s="57">
        <f t="shared" si="7"/>
        <v>0</v>
      </c>
    </row>
    <row r="69" spans="1:10" x14ac:dyDescent="0.25">
      <c r="A69" s="48"/>
      <c r="B69" s="44"/>
      <c r="C69" s="44"/>
      <c r="D69" s="44"/>
      <c r="E69" s="45"/>
      <c r="F69" s="42">
        <v>18</v>
      </c>
      <c r="G69" s="56">
        <f t="shared" si="4"/>
        <v>0</v>
      </c>
      <c r="H69" s="56">
        <f t="shared" si="5"/>
        <v>0</v>
      </c>
      <c r="I69" s="56">
        <f t="shared" si="6"/>
        <v>0</v>
      </c>
      <c r="J69" s="57">
        <f t="shared" si="7"/>
        <v>0</v>
      </c>
    </row>
    <row r="70" spans="1:10" x14ac:dyDescent="0.25">
      <c r="A70" s="48"/>
      <c r="B70" s="44"/>
      <c r="C70" s="44"/>
      <c r="D70" s="44"/>
      <c r="E70" s="45"/>
      <c r="F70" s="42">
        <v>18</v>
      </c>
      <c r="G70" s="56">
        <f t="shared" ref="G70:G133" si="8">ROUND((E70*F70%)/2,)</f>
        <v>0</v>
      </c>
      <c r="H70" s="56">
        <f t="shared" ref="H70:H133" si="9">G70</f>
        <v>0</v>
      </c>
      <c r="I70" s="56">
        <f t="shared" ref="I70:I133" si="10">G70+H70</f>
        <v>0</v>
      </c>
      <c r="J70" s="57">
        <f t="shared" ref="J70:J133" si="11">E70+I70</f>
        <v>0</v>
      </c>
    </row>
    <row r="71" spans="1:10" x14ac:dyDescent="0.25">
      <c r="A71" s="48"/>
      <c r="B71" s="44"/>
      <c r="C71" s="44"/>
      <c r="D71" s="44"/>
      <c r="E71" s="45"/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48"/>
      <c r="B72" s="44"/>
      <c r="C72" s="44"/>
      <c r="D72" s="44"/>
      <c r="E72" s="45"/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48"/>
      <c r="B73" s="44"/>
      <c r="C73" s="44"/>
      <c r="D73" s="44"/>
      <c r="E73" s="45"/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48"/>
      <c r="B74" s="44"/>
      <c r="C74" s="44"/>
      <c r="D74" s="44"/>
      <c r="E74" s="45"/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48"/>
      <c r="B75" s="44"/>
      <c r="C75" s="44"/>
      <c r="D75" s="44"/>
      <c r="E75" s="45"/>
      <c r="F75" s="42">
        <v>18</v>
      </c>
      <c r="G75" s="56">
        <f t="shared" si="8"/>
        <v>0</v>
      </c>
      <c r="H75" s="56">
        <f t="shared" si="9"/>
        <v>0</v>
      </c>
      <c r="I75" s="56">
        <f t="shared" si="10"/>
        <v>0</v>
      </c>
      <c r="J75" s="57">
        <f t="shared" si="11"/>
        <v>0</v>
      </c>
    </row>
    <row r="76" spans="1:10" x14ac:dyDescent="0.25">
      <c r="A76" s="48"/>
      <c r="B76" s="44"/>
      <c r="C76" s="44"/>
      <c r="D76" s="44"/>
      <c r="E76" s="45"/>
      <c r="F76" s="42">
        <v>18</v>
      </c>
      <c r="G76" s="56">
        <f t="shared" si="8"/>
        <v>0</v>
      </c>
      <c r="H76" s="56">
        <f t="shared" si="9"/>
        <v>0</v>
      </c>
      <c r="I76" s="56">
        <f t="shared" si="10"/>
        <v>0</v>
      </c>
      <c r="J76" s="57">
        <f t="shared" si="11"/>
        <v>0</v>
      </c>
    </row>
    <row r="77" spans="1:10" x14ac:dyDescent="0.25">
      <c r="A77" s="48"/>
      <c r="B77" s="44"/>
      <c r="C77" s="44"/>
      <c r="D77" s="44"/>
      <c r="E77" s="45"/>
      <c r="F77" s="42">
        <v>18</v>
      </c>
      <c r="G77" s="56">
        <f t="shared" si="8"/>
        <v>0</v>
      </c>
      <c r="H77" s="56">
        <f t="shared" si="9"/>
        <v>0</v>
      </c>
      <c r="I77" s="56">
        <f t="shared" si="10"/>
        <v>0</v>
      </c>
      <c r="J77" s="57">
        <f t="shared" si="11"/>
        <v>0</v>
      </c>
    </row>
    <row r="78" spans="1:10" x14ac:dyDescent="0.25">
      <c r="A78" s="48"/>
      <c r="B78" s="44"/>
      <c r="C78" s="44"/>
      <c r="D78" s="44"/>
      <c r="E78" s="45"/>
      <c r="F78" s="42">
        <v>18</v>
      </c>
      <c r="G78" s="56">
        <f t="shared" si="8"/>
        <v>0</v>
      </c>
      <c r="H78" s="56">
        <f t="shared" si="9"/>
        <v>0</v>
      </c>
      <c r="I78" s="56">
        <f t="shared" si="10"/>
        <v>0</v>
      </c>
      <c r="J78" s="57">
        <f t="shared" si="11"/>
        <v>0</v>
      </c>
    </row>
    <row r="79" spans="1:10" x14ac:dyDescent="0.25">
      <c r="A79" s="48"/>
      <c r="B79" s="44"/>
      <c r="C79" s="44"/>
      <c r="D79" s="44"/>
      <c r="E79" s="45"/>
      <c r="F79" s="42">
        <v>18</v>
      </c>
      <c r="G79" s="56">
        <f t="shared" si="8"/>
        <v>0</v>
      </c>
      <c r="H79" s="56">
        <f t="shared" si="9"/>
        <v>0</v>
      </c>
      <c r="I79" s="56">
        <f t="shared" si="10"/>
        <v>0</v>
      </c>
      <c r="J79" s="57">
        <f t="shared" si="11"/>
        <v>0</v>
      </c>
    </row>
    <row r="80" spans="1:10" x14ac:dyDescent="0.25">
      <c r="A80" s="48"/>
      <c r="B80" s="44"/>
      <c r="C80" s="44"/>
      <c r="D80" s="44"/>
      <c r="E80" s="45"/>
      <c r="F80" s="42">
        <v>18</v>
      </c>
      <c r="G80" s="56">
        <f t="shared" si="8"/>
        <v>0</v>
      </c>
      <c r="H80" s="56">
        <f t="shared" si="9"/>
        <v>0</v>
      </c>
      <c r="I80" s="56">
        <f t="shared" si="10"/>
        <v>0</v>
      </c>
      <c r="J80" s="57">
        <f t="shared" si="11"/>
        <v>0</v>
      </c>
    </row>
    <row r="81" spans="1:10" x14ac:dyDescent="0.25">
      <c r="A81" s="48"/>
      <c r="B81" s="44"/>
      <c r="C81" s="44"/>
      <c r="D81" s="44"/>
      <c r="E81" s="45"/>
      <c r="F81" s="42">
        <v>18</v>
      </c>
      <c r="G81" s="56">
        <f t="shared" si="8"/>
        <v>0</v>
      </c>
      <c r="H81" s="56">
        <f t="shared" si="9"/>
        <v>0</v>
      </c>
      <c r="I81" s="56">
        <f t="shared" si="10"/>
        <v>0</v>
      </c>
      <c r="J81" s="57">
        <f t="shared" si="11"/>
        <v>0</v>
      </c>
    </row>
    <row r="82" spans="1:10" x14ac:dyDescent="0.25">
      <c r="A82" s="48"/>
      <c r="B82" s="44"/>
      <c r="C82" s="44"/>
      <c r="D82" s="44"/>
      <c r="E82" s="45"/>
      <c r="F82" s="42">
        <v>18</v>
      </c>
      <c r="G82" s="56">
        <f t="shared" si="8"/>
        <v>0</v>
      </c>
      <c r="H82" s="56">
        <f t="shared" si="9"/>
        <v>0</v>
      </c>
      <c r="I82" s="56">
        <f t="shared" si="10"/>
        <v>0</v>
      </c>
      <c r="J82" s="57">
        <f t="shared" si="11"/>
        <v>0</v>
      </c>
    </row>
    <row r="83" spans="1:10" x14ac:dyDescent="0.25">
      <c r="A83" s="48"/>
      <c r="B83" s="44"/>
      <c r="C83" s="44"/>
      <c r="D83" s="44"/>
      <c r="E83" s="45"/>
      <c r="F83" s="42">
        <v>18</v>
      </c>
      <c r="G83" s="56">
        <f t="shared" si="8"/>
        <v>0</v>
      </c>
      <c r="H83" s="56">
        <f t="shared" si="9"/>
        <v>0</v>
      </c>
      <c r="I83" s="56">
        <f t="shared" si="10"/>
        <v>0</v>
      </c>
      <c r="J83" s="57">
        <f t="shared" si="11"/>
        <v>0</v>
      </c>
    </row>
    <row r="84" spans="1:10" x14ac:dyDescent="0.25">
      <c r="A84" s="48"/>
      <c r="B84" s="44"/>
      <c r="C84" s="44"/>
      <c r="D84" s="44"/>
      <c r="E84" s="45"/>
      <c r="F84" s="42">
        <v>18</v>
      </c>
      <c r="G84" s="56">
        <f t="shared" si="8"/>
        <v>0</v>
      </c>
      <c r="H84" s="56">
        <f t="shared" si="9"/>
        <v>0</v>
      </c>
      <c r="I84" s="56">
        <f t="shared" si="10"/>
        <v>0</v>
      </c>
      <c r="J84" s="57">
        <f t="shared" si="11"/>
        <v>0</v>
      </c>
    </row>
    <row r="85" spans="1:10" x14ac:dyDescent="0.25">
      <c r="A85" s="48"/>
      <c r="B85" s="44"/>
      <c r="C85" s="44"/>
      <c r="D85" s="44"/>
      <c r="E85" s="45"/>
      <c r="F85" s="42">
        <v>18</v>
      </c>
      <c r="G85" s="56">
        <f t="shared" si="8"/>
        <v>0</v>
      </c>
      <c r="H85" s="56">
        <f t="shared" si="9"/>
        <v>0</v>
      </c>
      <c r="I85" s="56">
        <f t="shared" si="10"/>
        <v>0</v>
      </c>
      <c r="J85" s="57">
        <f t="shared" si="11"/>
        <v>0</v>
      </c>
    </row>
    <row r="86" spans="1:10" x14ac:dyDescent="0.25">
      <c r="A86" s="48"/>
      <c r="B86" s="44"/>
      <c r="C86" s="44"/>
      <c r="D86" s="44"/>
      <c r="E86" s="45"/>
      <c r="F86" s="42">
        <v>18</v>
      </c>
      <c r="G86" s="56">
        <f t="shared" si="8"/>
        <v>0</v>
      </c>
      <c r="H86" s="56">
        <f t="shared" si="9"/>
        <v>0</v>
      </c>
      <c r="I86" s="56">
        <f t="shared" si="10"/>
        <v>0</v>
      </c>
      <c r="J86" s="57">
        <f t="shared" si="11"/>
        <v>0</v>
      </c>
    </row>
    <row r="87" spans="1:10" x14ac:dyDescent="0.25">
      <c r="A87" s="48"/>
      <c r="B87" s="44"/>
      <c r="C87" s="44"/>
      <c r="D87" s="44"/>
      <c r="E87" s="45"/>
      <c r="F87" s="42">
        <v>18</v>
      </c>
      <c r="G87" s="56">
        <f t="shared" si="8"/>
        <v>0</v>
      </c>
      <c r="H87" s="56">
        <f t="shared" si="9"/>
        <v>0</v>
      </c>
      <c r="I87" s="56">
        <f t="shared" si="10"/>
        <v>0</v>
      </c>
      <c r="J87" s="57">
        <f t="shared" si="11"/>
        <v>0</v>
      </c>
    </row>
    <row r="88" spans="1:10" x14ac:dyDescent="0.25">
      <c r="A88" s="48"/>
      <c r="B88" s="44"/>
      <c r="C88" s="44"/>
      <c r="D88" s="44"/>
      <c r="E88" s="45"/>
      <c r="F88" s="42">
        <v>18</v>
      </c>
      <c r="G88" s="56">
        <f t="shared" si="8"/>
        <v>0</v>
      </c>
      <c r="H88" s="56">
        <f t="shared" si="9"/>
        <v>0</v>
      </c>
      <c r="I88" s="56">
        <f t="shared" si="10"/>
        <v>0</v>
      </c>
      <c r="J88" s="57">
        <f t="shared" si="11"/>
        <v>0</v>
      </c>
    </row>
    <row r="89" spans="1:10" x14ac:dyDescent="0.25">
      <c r="A89" s="48"/>
      <c r="B89" s="44"/>
      <c r="C89" s="44"/>
      <c r="D89" s="44"/>
      <c r="E89" s="45"/>
      <c r="F89" s="42">
        <v>18</v>
      </c>
      <c r="G89" s="56">
        <f t="shared" si="8"/>
        <v>0</v>
      </c>
      <c r="H89" s="56">
        <f t="shared" si="9"/>
        <v>0</v>
      </c>
      <c r="I89" s="56">
        <f t="shared" si="10"/>
        <v>0</v>
      </c>
      <c r="J89" s="57">
        <f t="shared" si="11"/>
        <v>0</v>
      </c>
    </row>
    <row r="90" spans="1:10" x14ac:dyDescent="0.25">
      <c r="A90" s="48"/>
      <c r="B90" s="44"/>
      <c r="C90" s="44"/>
      <c r="D90" s="44"/>
      <c r="E90" s="45"/>
      <c r="F90" s="42">
        <v>18</v>
      </c>
      <c r="G90" s="56">
        <f t="shared" si="8"/>
        <v>0</v>
      </c>
      <c r="H90" s="56">
        <f t="shared" si="9"/>
        <v>0</v>
      </c>
      <c r="I90" s="56">
        <f t="shared" si="10"/>
        <v>0</v>
      </c>
      <c r="J90" s="57">
        <f t="shared" si="11"/>
        <v>0</v>
      </c>
    </row>
    <row r="91" spans="1:10" x14ac:dyDescent="0.25">
      <c r="A91" s="48"/>
      <c r="B91" s="44"/>
      <c r="C91" s="44"/>
      <c r="D91" s="44"/>
      <c r="E91" s="45"/>
      <c r="F91" s="42">
        <v>18</v>
      </c>
      <c r="G91" s="56">
        <f t="shared" si="8"/>
        <v>0</v>
      </c>
      <c r="H91" s="56">
        <f t="shared" si="9"/>
        <v>0</v>
      </c>
      <c r="I91" s="56">
        <f t="shared" si="10"/>
        <v>0</v>
      </c>
      <c r="J91" s="57">
        <f t="shared" si="11"/>
        <v>0</v>
      </c>
    </row>
    <row r="92" spans="1:10" x14ac:dyDescent="0.25">
      <c r="A92" s="48"/>
      <c r="B92" s="44"/>
      <c r="C92" s="44"/>
      <c r="D92" s="44"/>
      <c r="E92" s="45"/>
      <c r="F92" s="42">
        <v>18</v>
      </c>
      <c r="G92" s="56">
        <f t="shared" si="8"/>
        <v>0</v>
      </c>
      <c r="H92" s="56">
        <f t="shared" si="9"/>
        <v>0</v>
      </c>
      <c r="I92" s="56">
        <f t="shared" si="10"/>
        <v>0</v>
      </c>
      <c r="J92" s="57">
        <f t="shared" si="11"/>
        <v>0</v>
      </c>
    </row>
    <row r="93" spans="1:10" x14ac:dyDescent="0.25">
      <c r="A93" s="48"/>
      <c r="B93" s="44"/>
      <c r="C93" s="44"/>
      <c r="D93" s="44"/>
      <c r="E93" s="45"/>
      <c r="F93" s="42">
        <v>18</v>
      </c>
      <c r="G93" s="56">
        <f t="shared" si="8"/>
        <v>0</v>
      </c>
      <c r="H93" s="56">
        <f t="shared" si="9"/>
        <v>0</v>
      </c>
      <c r="I93" s="56">
        <f t="shared" si="10"/>
        <v>0</v>
      </c>
      <c r="J93" s="57">
        <f t="shared" si="11"/>
        <v>0</v>
      </c>
    </row>
    <row r="94" spans="1:10" x14ac:dyDescent="0.25">
      <c r="A94" s="48"/>
      <c r="B94" s="44"/>
      <c r="C94" s="44"/>
      <c r="D94" s="44"/>
      <c r="E94" s="45"/>
      <c r="F94" s="42">
        <v>18</v>
      </c>
      <c r="G94" s="56">
        <f t="shared" si="8"/>
        <v>0</v>
      </c>
      <c r="H94" s="56">
        <f t="shared" si="9"/>
        <v>0</v>
      </c>
      <c r="I94" s="56">
        <f t="shared" si="10"/>
        <v>0</v>
      </c>
      <c r="J94" s="57">
        <f t="shared" si="11"/>
        <v>0</v>
      </c>
    </row>
    <row r="95" spans="1:10" x14ac:dyDescent="0.25">
      <c r="A95" s="48"/>
      <c r="B95" s="44"/>
      <c r="C95" s="44"/>
      <c r="D95" s="44"/>
      <c r="E95" s="45"/>
      <c r="F95" s="42">
        <v>18</v>
      </c>
      <c r="G95" s="56">
        <f t="shared" si="8"/>
        <v>0</v>
      </c>
      <c r="H95" s="56">
        <f t="shared" si="9"/>
        <v>0</v>
      </c>
      <c r="I95" s="56">
        <f t="shared" si="10"/>
        <v>0</v>
      </c>
      <c r="J95" s="57">
        <f t="shared" si="11"/>
        <v>0</v>
      </c>
    </row>
    <row r="96" spans="1:10" x14ac:dyDescent="0.25">
      <c r="A96" s="48"/>
      <c r="B96" s="44"/>
      <c r="C96" s="44"/>
      <c r="D96" s="44"/>
      <c r="E96" s="45"/>
      <c r="F96" s="42">
        <v>18</v>
      </c>
      <c r="G96" s="56">
        <f t="shared" si="8"/>
        <v>0</v>
      </c>
      <c r="H96" s="56">
        <f t="shared" si="9"/>
        <v>0</v>
      </c>
      <c r="I96" s="56">
        <f t="shared" si="10"/>
        <v>0</v>
      </c>
      <c r="J96" s="57">
        <f t="shared" si="11"/>
        <v>0</v>
      </c>
    </row>
    <row r="97" spans="1:10" x14ac:dyDescent="0.25">
      <c r="A97" s="48"/>
      <c r="B97" s="44"/>
      <c r="C97" s="44"/>
      <c r="D97" s="44"/>
      <c r="E97" s="45"/>
      <c r="F97" s="42">
        <v>18</v>
      </c>
      <c r="G97" s="56">
        <f t="shared" si="8"/>
        <v>0</v>
      </c>
      <c r="H97" s="56">
        <f t="shared" si="9"/>
        <v>0</v>
      </c>
      <c r="I97" s="56">
        <f t="shared" si="10"/>
        <v>0</v>
      </c>
      <c r="J97" s="57">
        <f t="shared" si="11"/>
        <v>0</v>
      </c>
    </row>
    <row r="98" spans="1:10" x14ac:dyDescent="0.25">
      <c r="A98" s="48"/>
      <c r="B98" s="44"/>
      <c r="C98" s="44"/>
      <c r="D98" s="44"/>
      <c r="E98" s="45"/>
      <c r="F98" s="42">
        <v>18</v>
      </c>
      <c r="G98" s="56">
        <f t="shared" si="8"/>
        <v>0</v>
      </c>
      <c r="H98" s="56">
        <f t="shared" si="9"/>
        <v>0</v>
      </c>
      <c r="I98" s="56">
        <f t="shared" si="10"/>
        <v>0</v>
      </c>
      <c r="J98" s="57">
        <f t="shared" si="11"/>
        <v>0</v>
      </c>
    </row>
    <row r="99" spans="1:10" x14ac:dyDescent="0.25">
      <c r="A99" s="48"/>
      <c r="B99" s="44"/>
      <c r="C99" s="44"/>
      <c r="D99" s="44"/>
      <c r="E99" s="45"/>
      <c r="F99" s="42">
        <v>18</v>
      </c>
      <c r="G99" s="56">
        <f t="shared" si="8"/>
        <v>0</v>
      </c>
      <c r="H99" s="56">
        <f t="shared" si="9"/>
        <v>0</v>
      </c>
      <c r="I99" s="56">
        <f t="shared" si="10"/>
        <v>0</v>
      </c>
      <c r="J99" s="57">
        <f t="shared" si="11"/>
        <v>0</v>
      </c>
    </row>
    <row r="100" spans="1:10" x14ac:dyDescent="0.25">
      <c r="A100" s="48"/>
      <c r="B100" s="44"/>
      <c r="C100" s="44"/>
      <c r="D100" s="44"/>
      <c r="E100" s="45"/>
      <c r="F100" s="42">
        <v>18</v>
      </c>
      <c r="G100" s="56">
        <f t="shared" si="8"/>
        <v>0</v>
      </c>
      <c r="H100" s="56">
        <f t="shared" si="9"/>
        <v>0</v>
      </c>
      <c r="I100" s="56">
        <f t="shared" si="10"/>
        <v>0</v>
      </c>
      <c r="J100" s="57">
        <f t="shared" si="11"/>
        <v>0</v>
      </c>
    </row>
    <row r="101" spans="1:10" x14ac:dyDescent="0.25">
      <c r="A101" s="48"/>
      <c r="B101" s="44"/>
      <c r="C101" s="44"/>
      <c r="D101" s="44"/>
      <c r="E101" s="45"/>
      <c r="F101" s="42">
        <v>18</v>
      </c>
      <c r="G101" s="56">
        <f t="shared" si="8"/>
        <v>0</v>
      </c>
      <c r="H101" s="56">
        <f t="shared" si="9"/>
        <v>0</v>
      </c>
      <c r="I101" s="56">
        <f t="shared" si="10"/>
        <v>0</v>
      </c>
      <c r="J101" s="57">
        <f t="shared" si="11"/>
        <v>0</v>
      </c>
    </row>
    <row r="102" spans="1:10" x14ac:dyDescent="0.25">
      <c r="A102" s="48"/>
      <c r="B102" s="44"/>
      <c r="C102" s="44"/>
      <c r="D102" s="44"/>
      <c r="E102" s="45"/>
      <c r="F102" s="42">
        <v>18</v>
      </c>
      <c r="G102" s="56">
        <f t="shared" si="8"/>
        <v>0</v>
      </c>
      <c r="H102" s="56">
        <f t="shared" si="9"/>
        <v>0</v>
      </c>
      <c r="I102" s="56">
        <f t="shared" si="10"/>
        <v>0</v>
      </c>
      <c r="J102" s="57">
        <f t="shared" si="11"/>
        <v>0</v>
      </c>
    </row>
    <row r="103" spans="1:10" x14ac:dyDescent="0.25">
      <c r="A103" s="48"/>
      <c r="B103" s="44"/>
      <c r="C103" s="44"/>
      <c r="D103" s="44"/>
      <c r="E103" s="45"/>
      <c r="F103" s="42">
        <v>18</v>
      </c>
      <c r="G103" s="56">
        <f t="shared" si="8"/>
        <v>0</v>
      </c>
      <c r="H103" s="56">
        <f t="shared" si="9"/>
        <v>0</v>
      </c>
      <c r="I103" s="56">
        <f t="shared" si="10"/>
        <v>0</v>
      </c>
      <c r="J103" s="57">
        <f t="shared" si="11"/>
        <v>0</v>
      </c>
    </row>
    <row r="104" spans="1:10" x14ac:dyDescent="0.25">
      <c r="A104" s="48"/>
      <c r="B104" s="44"/>
      <c r="C104" s="44"/>
      <c r="D104" s="44"/>
      <c r="E104" s="45"/>
      <c r="F104" s="42">
        <v>18</v>
      </c>
      <c r="G104" s="56">
        <f t="shared" si="8"/>
        <v>0</v>
      </c>
      <c r="H104" s="56">
        <f t="shared" si="9"/>
        <v>0</v>
      </c>
      <c r="I104" s="56">
        <f t="shared" si="10"/>
        <v>0</v>
      </c>
      <c r="J104" s="57">
        <f t="shared" si="11"/>
        <v>0</v>
      </c>
    </row>
    <row r="105" spans="1:10" x14ac:dyDescent="0.25">
      <c r="A105" s="48"/>
      <c r="B105" s="44"/>
      <c r="C105" s="44"/>
      <c r="D105" s="44"/>
      <c r="E105" s="45"/>
      <c r="F105" s="42">
        <v>18</v>
      </c>
      <c r="G105" s="56">
        <f t="shared" si="8"/>
        <v>0</v>
      </c>
      <c r="H105" s="56">
        <f t="shared" si="9"/>
        <v>0</v>
      </c>
      <c r="I105" s="56">
        <f t="shared" si="10"/>
        <v>0</v>
      </c>
      <c r="J105" s="57">
        <f t="shared" si="11"/>
        <v>0</v>
      </c>
    </row>
    <row r="106" spans="1:10" x14ac:dyDescent="0.25">
      <c r="A106" s="48"/>
      <c r="B106" s="44"/>
      <c r="C106" s="44"/>
      <c r="D106" s="44"/>
      <c r="E106" s="45"/>
      <c r="F106" s="42">
        <v>18</v>
      </c>
      <c r="G106" s="56">
        <f t="shared" si="8"/>
        <v>0</v>
      </c>
      <c r="H106" s="56">
        <f t="shared" si="9"/>
        <v>0</v>
      </c>
      <c r="I106" s="56">
        <f t="shared" si="10"/>
        <v>0</v>
      </c>
      <c r="J106" s="57">
        <f t="shared" si="11"/>
        <v>0</v>
      </c>
    </row>
    <row r="107" spans="1:10" x14ac:dyDescent="0.25">
      <c r="A107" s="48"/>
      <c r="B107" s="44"/>
      <c r="C107" s="44"/>
      <c r="D107" s="44"/>
      <c r="E107" s="45"/>
      <c r="F107" s="42">
        <v>18</v>
      </c>
      <c r="G107" s="56">
        <f t="shared" si="8"/>
        <v>0</v>
      </c>
      <c r="H107" s="56">
        <f t="shared" si="9"/>
        <v>0</v>
      </c>
      <c r="I107" s="56">
        <f t="shared" si="10"/>
        <v>0</v>
      </c>
      <c r="J107" s="57">
        <f t="shared" si="11"/>
        <v>0</v>
      </c>
    </row>
    <row r="108" spans="1:10" x14ac:dyDescent="0.25">
      <c r="A108" s="48"/>
      <c r="B108" s="44"/>
      <c r="C108" s="44"/>
      <c r="D108" s="44"/>
      <c r="E108" s="45"/>
      <c r="F108" s="42">
        <v>18</v>
      </c>
      <c r="G108" s="56">
        <f t="shared" si="8"/>
        <v>0</v>
      </c>
      <c r="H108" s="56">
        <f t="shared" si="9"/>
        <v>0</v>
      </c>
      <c r="I108" s="56">
        <f t="shared" si="10"/>
        <v>0</v>
      </c>
      <c r="J108" s="57">
        <f t="shared" si="11"/>
        <v>0</v>
      </c>
    </row>
    <row r="109" spans="1:10" x14ac:dyDescent="0.25">
      <c r="A109" s="48"/>
      <c r="B109" s="44"/>
      <c r="C109" s="44"/>
      <c r="D109" s="44"/>
      <c r="E109" s="45"/>
      <c r="F109" s="42">
        <v>18</v>
      </c>
      <c r="G109" s="56">
        <f t="shared" si="8"/>
        <v>0</v>
      </c>
      <c r="H109" s="56">
        <f t="shared" si="9"/>
        <v>0</v>
      </c>
      <c r="I109" s="56">
        <f t="shared" si="10"/>
        <v>0</v>
      </c>
      <c r="J109" s="57">
        <f t="shared" si="11"/>
        <v>0</v>
      </c>
    </row>
    <row r="110" spans="1:10" x14ac:dyDescent="0.25">
      <c r="A110" s="48"/>
      <c r="B110" s="44"/>
      <c r="C110" s="44"/>
      <c r="D110" s="44"/>
      <c r="E110" s="45"/>
      <c r="F110" s="42">
        <v>18</v>
      </c>
      <c r="G110" s="56">
        <f t="shared" si="8"/>
        <v>0</v>
      </c>
      <c r="H110" s="56">
        <f t="shared" si="9"/>
        <v>0</v>
      </c>
      <c r="I110" s="56">
        <f t="shared" si="10"/>
        <v>0</v>
      </c>
      <c r="J110" s="57">
        <f t="shared" si="11"/>
        <v>0</v>
      </c>
    </row>
    <row r="111" spans="1:10" x14ac:dyDescent="0.25">
      <c r="A111" s="48"/>
      <c r="B111" s="44"/>
      <c r="C111" s="44"/>
      <c r="D111" s="44"/>
      <c r="E111" s="45"/>
      <c r="F111" s="42">
        <v>18</v>
      </c>
      <c r="G111" s="56">
        <f t="shared" si="8"/>
        <v>0</v>
      </c>
      <c r="H111" s="56">
        <f t="shared" si="9"/>
        <v>0</v>
      </c>
      <c r="I111" s="56">
        <f t="shared" si="10"/>
        <v>0</v>
      </c>
      <c r="J111" s="57">
        <f t="shared" si="11"/>
        <v>0</v>
      </c>
    </row>
    <row r="112" spans="1:10" x14ac:dyDescent="0.25">
      <c r="A112" s="48"/>
      <c r="B112" s="44"/>
      <c r="C112" s="44"/>
      <c r="D112" s="44"/>
      <c r="E112" s="45"/>
      <c r="F112" s="42">
        <v>18</v>
      </c>
      <c r="G112" s="56">
        <f t="shared" si="8"/>
        <v>0</v>
      </c>
      <c r="H112" s="56">
        <f t="shared" si="9"/>
        <v>0</v>
      </c>
      <c r="I112" s="56">
        <f t="shared" si="10"/>
        <v>0</v>
      </c>
      <c r="J112" s="57">
        <f t="shared" si="11"/>
        <v>0</v>
      </c>
    </row>
    <row r="113" spans="1:10" x14ac:dyDescent="0.25">
      <c r="A113" s="48"/>
      <c r="B113" s="44"/>
      <c r="C113" s="44"/>
      <c r="D113" s="44"/>
      <c r="E113" s="45"/>
      <c r="F113" s="42">
        <v>18</v>
      </c>
      <c r="G113" s="56">
        <f t="shared" si="8"/>
        <v>0</v>
      </c>
      <c r="H113" s="56">
        <f t="shared" si="9"/>
        <v>0</v>
      </c>
      <c r="I113" s="56">
        <f t="shared" si="10"/>
        <v>0</v>
      </c>
      <c r="J113" s="57">
        <f t="shared" si="11"/>
        <v>0</v>
      </c>
    </row>
    <row r="114" spans="1:10" x14ac:dyDescent="0.25">
      <c r="A114" s="48"/>
      <c r="B114" s="44"/>
      <c r="C114" s="44"/>
      <c r="D114" s="44"/>
      <c r="E114" s="45"/>
      <c r="F114" s="42">
        <v>18</v>
      </c>
      <c r="G114" s="56">
        <f t="shared" si="8"/>
        <v>0</v>
      </c>
      <c r="H114" s="56">
        <f t="shared" si="9"/>
        <v>0</v>
      </c>
      <c r="I114" s="56">
        <f t="shared" si="10"/>
        <v>0</v>
      </c>
      <c r="J114" s="57">
        <f t="shared" si="11"/>
        <v>0</v>
      </c>
    </row>
    <row r="115" spans="1:10" x14ac:dyDescent="0.25">
      <c r="A115" s="48"/>
      <c r="B115" s="44"/>
      <c r="C115" s="44"/>
      <c r="D115" s="44"/>
      <c r="E115" s="45"/>
      <c r="F115" s="42">
        <v>18</v>
      </c>
      <c r="G115" s="56">
        <f t="shared" si="8"/>
        <v>0</v>
      </c>
      <c r="H115" s="56">
        <f t="shared" si="9"/>
        <v>0</v>
      </c>
      <c r="I115" s="56">
        <f t="shared" si="10"/>
        <v>0</v>
      </c>
      <c r="J115" s="57">
        <f t="shared" si="11"/>
        <v>0</v>
      </c>
    </row>
    <row r="116" spans="1:10" x14ac:dyDescent="0.25">
      <c r="A116" s="48"/>
      <c r="B116" s="44"/>
      <c r="C116" s="44"/>
      <c r="D116" s="44"/>
      <c r="E116" s="45"/>
      <c r="F116" s="42">
        <v>18</v>
      </c>
      <c r="G116" s="56">
        <f t="shared" si="8"/>
        <v>0</v>
      </c>
      <c r="H116" s="56">
        <f t="shared" si="9"/>
        <v>0</v>
      </c>
      <c r="I116" s="56">
        <f t="shared" si="10"/>
        <v>0</v>
      </c>
      <c r="J116" s="57">
        <f t="shared" si="11"/>
        <v>0</v>
      </c>
    </row>
    <row r="117" spans="1:10" x14ac:dyDescent="0.25">
      <c r="A117" s="48"/>
      <c r="B117" s="44"/>
      <c r="C117" s="44"/>
      <c r="D117" s="44"/>
      <c r="E117" s="45"/>
      <c r="F117" s="42">
        <v>18</v>
      </c>
      <c r="G117" s="56">
        <f t="shared" si="8"/>
        <v>0</v>
      </c>
      <c r="H117" s="56">
        <f t="shared" si="9"/>
        <v>0</v>
      </c>
      <c r="I117" s="56">
        <f t="shared" si="10"/>
        <v>0</v>
      </c>
      <c r="J117" s="57">
        <f t="shared" si="11"/>
        <v>0</v>
      </c>
    </row>
    <row r="118" spans="1:10" x14ac:dyDescent="0.25">
      <c r="A118" s="48"/>
      <c r="B118" s="44"/>
      <c r="C118" s="44"/>
      <c r="D118" s="44"/>
      <c r="E118" s="45"/>
      <c r="F118" s="42">
        <v>18</v>
      </c>
      <c r="G118" s="56">
        <f t="shared" si="8"/>
        <v>0</v>
      </c>
      <c r="H118" s="56">
        <f t="shared" si="9"/>
        <v>0</v>
      </c>
      <c r="I118" s="56">
        <f t="shared" si="10"/>
        <v>0</v>
      </c>
      <c r="J118" s="57">
        <f t="shared" si="11"/>
        <v>0</v>
      </c>
    </row>
    <row r="119" spans="1:10" x14ac:dyDescent="0.25">
      <c r="A119" s="48"/>
      <c r="B119" s="44"/>
      <c r="C119" s="44"/>
      <c r="D119" s="44"/>
      <c r="E119" s="45"/>
      <c r="F119" s="42">
        <v>18</v>
      </c>
      <c r="G119" s="56">
        <f t="shared" si="8"/>
        <v>0</v>
      </c>
      <c r="H119" s="56">
        <f t="shared" si="9"/>
        <v>0</v>
      </c>
      <c r="I119" s="56">
        <f t="shared" si="10"/>
        <v>0</v>
      </c>
      <c r="J119" s="57">
        <f t="shared" si="11"/>
        <v>0</v>
      </c>
    </row>
    <row r="120" spans="1:10" x14ac:dyDescent="0.25">
      <c r="A120" s="48"/>
      <c r="B120" s="44"/>
      <c r="C120" s="44"/>
      <c r="D120" s="44"/>
      <c r="E120" s="45"/>
      <c r="F120" s="42">
        <v>18</v>
      </c>
      <c r="G120" s="56">
        <f t="shared" si="8"/>
        <v>0</v>
      </c>
      <c r="H120" s="56">
        <f t="shared" si="9"/>
        <v>0</v>
      </c>
      <c r="I120" s="56">
        <f t="shared" si="10"/>
        <v>0</v>
      </c>
      <c r="J120" s="57">
        <f t="shared" si="11"/>
        <v>0</v>
      </c>
    </row>
    <row r="121" spans="1:10" x14ac:dyDescent="0.25">
      <c r="A121" s="48"/>
      <c r="B121" s="44"/>
      <c r="C121" s="44"/>
      <c r="D121" s="44"/>
      <c r="E121" s="45"/>
      <c r="F121" s="42">
        <v>18</v>
      </c>
      <c r="G121" s="56">
        <f t="shared" si="8"/>
        <v>0</v>
      </c>
      <c r="H121" s="56">
        <f t="shared" si="9"/>
        <v>0</v>
      </c>
      <c r="I121" s="56">
        <f t="shared" si="10"/>
        <v>0</v>
      </c>
      <c r="J121" s="57">
        <f t="shared" si="11"/>
        <v>0</v>
      </c>
    </row>
    <row r="122" spans="1:10" x14ac:dyDescent="0.25">
      <c r="A122" s="48"/>
      <c r="B122" s="44"/>
      <c r="C122" s="44"/>
      <c r="D122" s="44"/>
      <c r="E122" s="45"/>
      <c r="F122" s="42">
        <v>18</v>
      </c>
      <c r="G122" s="56">
        <f t="shared" si="8"/>
        <v>0</v>
      </c>
      <c r="H122" s="56">
        <f t="shared" si="9"/>
        <v>0</v>
      </c>
      <c r="I122" s="56">
        <f t="shared" si="10"/>
        <v>0</v>
      </c>
      <c r="J122" s="57">
        <f t="shared" si="11"/>
        <v>0</v>
      </c>
    </row>
    <row r="123" spans="1:10" x14ac:dyDescent="0.25">
      <c r="A123" s="48"/>
      <c r="B123" s="44"/>
      <c r="C123" s="44"/>
      <c r="D123" s="44"/>
      <c r="E123" s="45"/>
      <c r="F123" s="42">
        <v>18</v>
      </c>
      <c r="G123" s="56">
        <f t="shared" si="8"/>
        <v>0</v>
      </c>
      <c r="H123" s="56">
        <f t="shared" si="9"/>
        <v>0</v>
      </c>
      <c r="I123" s="56">
        <f t="shared" si="10"/>
        <v>0</v>
      </c>
      <c r="J123" s="57">
        <f t="shared" si="11"/>
        <v>0</v>
      </c>
    </row>
    <row r="124" spans="1:10" x14ac:dyDescent="0.25">
      <c r="A124" s="48"/>
      <c r="B124" s="44"/>
      <c r="C124" s="44"/>
      <c r="D124" s="44"/>
      <c r="E124" s="45"/>
      <c r="F124" s="42">
        <v>18</v>
      </c>
      <c r="G124" s="56">
        <f t="shared" si="8"/>
        <v>0</v>
      </c>
      <c r="H124" s="56">
        <f t="shared" si="9"/>
        <v>0</v>
      </c>
      <c r="I124" s="56">
        <f t="shared" si="10"/>
        <v>0</v>
      </c>
      <c r="J124" s="57">
        <f t="shared" si="11"/>
        <v>0</v>
      </c>
    </row>
    <row r="125" spans="1:10" x14ac:dyDescent="0.25">
      <c r="A125" s="48"/>
      <c r="B125" s="44"/>
      <c r="C125" s="44"/>
      <c r="D125" s="44"/>
      <c r="E125" s="45"/>
      <c r="F125" s="42">
        <v>18</v>
      </c>
      <c r="G125" s="56">
        <f t="shared" si="8"/>
        <v>0</v>
      </c>
      <c r="H125" s="56">
        <f t="shared" si="9"/>
        <v>0</v>
      </c>
      <c r="I125" s="56">
        <f t="shared" si="10"/>
        <v>0</v>
      </c>
      <c r="J125" s="57">
        <f t="shared" si="11"/>
        <v>0</v>
      </c>
    </row>
    <row r="126" spans="1:10" x14ac:dyDescent="0.25">
      <c r="A126" s="48"/>
      <c r="B126" s="44"/>
      <c r="C126" s="44"/>
      <c r="D126" s="44"/>
      <c r="E126" s="45"/>
      <c r="F126" s="42">
        <v>18</v>
      </c>
      <c r="G126" s="56">
        <f t="shared" si="8"/>
        <v>0</v>
      </c>
      <c r="H126" s="56">
        <f t="shared" si="9"/>
        <v>0</v>
      </c>
      <c r="I126" s="56">
        <f t="shared" si="10"/>
        <v>0</v>
      </c>
      <c r="J126" s="57">
        <f t="shared" si="11"/>
        <v>0</v>
      </c>
    </row>
    <row r="127" spans="1:10" x14ac:dyDescent="0.25">
      <c r="A127" s="48"/>
      <c r="B127" s="44"/>
      <c r="C127" s="44"/>
      <c r="D127" s="44"/>
      <c r="E127" s="45"/>
      <c r="F127" s="42">
        <v>18</v>
      </c>
      <c r="G127" s="56">
        <f t="shared" si="8"/>
        <v>0</v>
      </c>
      <c r="H127" s="56">
        <f t="shared" si="9"/>
        <v>0</v>
      </c>
      <c r="I127" s="56">
        <f t="shared" si="10"/>
        <v>0</v>
      </c>
      <c r="J127" s="57">
        <f t="shared" si="11"/>
        <v>0</v>
      </c>
    </row>
    <row r="128" spans="1:10" x14ac:dyDescent="0.25">
      <c r="A128" s="48"/>
      <c r="B128" s="44"/>
      <c r="C128" s="44"/>
      <c r="D128" s="44"/>
      <c r="E128" s="45"/>
      <c r="F128" s="42">
        <v>18</v>
      </c>
      <c r="G128" s="56">
        <f t="shared" si="8"/>
        <v>0</v>
      </c>
      <c r="H128" s="56">
        <f t="shared" si="9"/>
        <v>0</v>
      </c>
      <c r="I128" s="56">
        <f t="shared" si="10"/>
        <v>0</v>
      </c>
      <c r="J128" s="57">
        <f t="shared" si="11"/>
        <v>0</v>
      </c>
    </row>
    <row r="129" spans="1:10" x14ac:dyDescent="0.25">
      <c r="A129" s="48"/>
      <c r="B129" s="44"/>
      <c r="C129" s="44"/>
      <c r="D129" s="44"/>
      <c r="E129" s="45"/>
      <c r="F129" s="42">
        <v>18</v>
      </c>
      <c r="G129" s="56">
        <f t="shared" si="8"/>
        <v>0</v>
      </c>
      <c r="H129" s="56">
        <f t="shared" si="9"/>
        <v>0</v>
      </c>
      <c r="I129" s="56">
        <f t="shared" si="10"/>
        <v>0</v>
      </c>
      <c r="J129" s="57">
        <f t="shared" si="11"/>
        <v>0</v>
      </c>
    </row>
    <row r="130" spans="1:10" x14ac:dyDescent="0.25">
      <c r="A130" s="48"/>
      <c r="B130" s="44"/>
      <c r="C130" s="44"/>
      <c r="D130" s="44"/>
      <c r="E130" s="45"/>
      <c r="F130" s="42">
        <v>18</v>
      </c>
      <c r="G130" s="56">
        <f t="shared" si="8"/>
        <v>0</v>
      </c>
      <c r="H130" s="56">
        <f t="shared" si="9"/>
        <v>0</v>
      </c>
      <c r="I130" s="56">
        <f t="shared" si="10"/>
        <v>0</v>
      </c>
      <c r="J130" s="57">
        <f t="shared" si="11"/>
        <v>0</v>
      </c>
    </row>
    <row r="131" spans="1:10" x14ac:dyDescent="0.25">
      <c r="A131" s="48"/>
      <c r="B131" s="44"/>
      <c r="C131" s="44"/>
      <c r="D131" s="44"/>
      <c r="E131" s="45"/>
      <c r="F131" s="42">
        <v>18</v>
      </c>
      <c r="G131" s="56">
        <f t="shared" si="8"/>
        <v>0</v>
      </c>
      <c r="H131" s="56">
        <f t="shared" si="9"/>
        <v>0</v>
      </c>
      <c r="I131" s="56">
        <f t="shared" si="10"/>
        <v>0</v>
      </c>
      <c r="J131" s="57">
        <f t="shared" si="11"/>
        <v>0</v>
      </c>
    </row>
    <row r="132" spans="1:10" x14ac:dyDescent="0.25">
      <c r="A132" s="48"/>
      <c r="B132" s="44"/>
      <c r="C132" s="44"/>
      <c r="D132" s="44"/>
      <c r="E132" s="45"/>
      <c r="F132" s="42">
        <v>18</v>
      </c>
      <c r="G132" s="56">
        <f t="shared" si="8"/>
        <v>0</v>
      </c>
      <c r="H132" s="56">
        <f t="shared" si="9"/>
        <v>0</v>
      </c>
      <c r="I132" s="56">
        <f t="shared" si="10"/>
        <v>0</v>
      </c>
      <c r="J132" s="57">
        <f t="shared" si="11"/>
        <v>0</v>
      </c>
    </row>
    <row r="133" spans="1:10" x14ac:dyDescent="0.25">
      <c r="A133" s="48"/>
      <c r="B133" s="44"/>
      <c r="C133" s="44"/>
      <c r="D133" s="44"/>
      <c r="E133" s="45"/>
      <c r="F133" s="42">
        <v>18</v>
      </c>
      <c r="G133" s="56">
        <f t="shared" si="8"/>
        <v>0</v>
      </c>
      <c r="H133" s="56">
        <f t="shared" si="9"/>
        <v>0</v>
      </c>
      <c r="I133" s="56">
        <f t="shared" si="10"/>
        <v>0</v>
      </c>
      <c r="J133" s="57">
        <f t="shared" si="11"/>
        <v>0</v>
      </c>
    </row>
    <row r="134" spans="1:10" x14ac:dyDescent="0.25">
      <c r="A134" s="48"/>
      <c r="B134" s="44"/>
      <c r="C134" s="44"/>
      <c r="D134" s="44"/>
      <c r="E134" s="45"/>
      <c r="F134" s="42">
        <v>18</v>
      </c>
      <c r="G134" s="56">
        <f t="shared" ref="G134:G197" si="12">ROUND((E134*F134%)/2,)</f>
        <v>0</v>
      </c>
      <c r="H134" s="56">
        <f t="shared" ref="H134:H197" si="13">G134</f>
        <v>0</v>
      </c>
      <c r="I134" s="56">
        <f t="shared" ref="I134:I197" si="14">G134+H134</f>
        <v>0</v>
      </c>
      <c r="J134" s="57">
        <f t="shared" ref="J134:J197" si="15">E134+I134</f>
        <v>0</v>
      </c>
    </row>
    <row r="135" spans="1:10" x14ac:dyDescent="0.25">
      <c r="A135" s="48"/>
      <c r="B135" s="44"/>
      <c r="C135" s="44"/>
      <c r="D135" s="44"/>
      <c r="E135" s="45"/>
      <c r="F135" s="42">
        <v>18</v>
      </c>
      <c r="G135" s="56">
        <f t="shared" si="12"/>
        <v>0</v>
      </c>
      <c r="H135" s="56">
        <f t="shared" si="13"/>
        <v>0</v>
      </c>
      <c r="I135" s="56">
        <f t="shared" si="14"/>
        <v>0</v>
      </c>
      <c r="J135" s="57">
        <f t="shared" si="15"/>
        <v>0</v>
      </c>
    </row>
    <row r="136" spans="1:10" x14ac:dyDescent="0.25">
      <c r="A136" s="48"/>
      <c r="B136" s="44"/>
      <c r="C136" s="44"/>
      <c r="D136" s="44"/>
      <c r="E136" s="45"/>
      <c r="F136" s="42">
        <v>18</v>
      </c>
      <c r="G136" s="56">
        <f t="shared" si="12"/>
        <v>0</v>
      </c>
      <c r="H136" s="56">
        <f t="shared" si="13"/>
        <v>0</v>
      </c>
      <c r="I136" s="56">
        <f t="shared" si="14"/>
        <v>0</v>
      </c>
      <c r="J136" s="57">
        <f t="shared" si="15"/>
        <v>0</v>
      </c>
    </row>
    <row r="137" spans="1:10" x14ac:dyDescent="0.25">
      <c r="A137" s="48"/>
      <c r="B137" s="44"/>
      <c r="C137" s="44"/>
      <c r="D137" s="44"/>
      <c r="E137" s="45"/>
      <c r="F137" s="42">
        <v>18</v>
      </c>
      <c r="G137" s="56">
        <f t="shared" si="12"/>
        <v>0</v>
      </c>
      <c r="H137" s="56">
        <f t="shared" si="13"/>
        <v>0</v>
      </c>
      <c r="I137" s="56">
        <f t="shared" si="14"/>
        <v>0</v>
      </c>
      <c r="J137" s="57">
        <f t="shared" si="15"/>
        <v>0</v>
      </c>
    </row>
    <row r="138" spans="1:10" x14ac:dyDescent="0.25">
      <c r="A138" s="48"/>
      <c r="B138" s="44"/>
      <c r="C138" s="44"/>
      <c r="D138" s="44"/>
      <c r="E138" s="45"/>
      <c r="F138" s="42">
        <v>18</v>
      </c>
      <c r="G138" s="56">
        <f t="shared" si="12"/>
        <v>0</v>
      </c>
      <c r="H138" s="56">
        <f t="shared" si="13"/>
        <v>0</v>
      </c>
      <c r="I138" s="56">
        <f t="shared" si="14"/>
        <v>0</v>
      </c>
      <c r="J138" s="57">
        <f t="shared" si="15"/>
        <v>0</v>
      </c>
    </row>
    <row r="139" spans="1:10" x14ac:dyDescent="0.25">
      <c r="A139" s="48"/>
      <c r="B139" s="44"/>
      <c r="C139" s="44"/>
      <c r="D139" s="44"/>
      <c r="E139" s="45"/>
      <c r="F139" s="42">
        <v>18</v>
      </c>
      <c r="G139" s="56">
        <f t="shared" si="12"/>
        <v>0</v>
      </c>
      <c r="H139" s="56">
        <f t="shared" si="13"/>
        <v>0</v>
      </c>
      <c r="I139" s="56">
        <f t="shared" si="14"/>
        <v>0</v>
      </c>
      <c r="J139" s="57">
        <f t="shared" si="15"/>
        <v>0</v>
      </c>
    </row>
    <row r="140" spans="1:10" x14ac:dyDescent="0.25">
      <c r="A140" s="48"/>
      <c r="B140" s="44"/>
      <c r="C140" s="44"/>
      <c r="D140" s="44"/>
      <c r="E140" s="45"/>
      <c r="F140" s="42">
        <v>18</v>
      </c>
      <c r="G140" s="56">
        <f t="shared" si="12"/>
        <v>0</v>
      </c>
      <c r="H140" s="56">
        <f t="shared" si="13"/>
        <v>0</v>
      </c>
      <c r="I140" s="56">
        <f t="shared" si="14"/>
        <v>0</v>
      </c>
      <c r="J140" s="57">
        <f t="shared" si="15"/>
        <v>0</v>
      </c>
    </row>
    <row r="141" spans="1:10" x14ac:dyDescent="0.25">
      <c r="A141" s="48"/>
      <c r="B141" s="44"/>
      <c r="C141" s="44"/>
      <c r="D141" s="44"/>
      <c r="E141" s="45"/>
      <c r="F141" s="42">
        <v>18</v>
      </c>
      <c r="G141" s="56">
        <f t="shared" si="12"/>
        <v>0</v>
      </c>
      <c r="H141" s="56">
        <f t="shared" si="13"/>
        <v>0</v>
      </c>
      <c r="I141" s="56">
        <f t="shared" si="14"/>
        <v>0</v>
      </c>
      <c r="J141" s="57">
        <f t="shared" si="15"/>
        <v>0</v>
      </c>
    </row>
    <row r="142" spans="1:10" x14ac:dyDescent="0.25">
      <c r="A142" s="48"/>
      <c r="B142" s="44"/>
      <c r="C142" s="44"/>
      <c r="D142" s="44"/>
      <c r="E142" s="45"/>
      <c r="F142" s="42">
        <v>18</v>
      </c>
      <c r="G142" s="56">
        <f t="shared" si="12"/>
        <v>0</v>
      </c>
      <c r="H142" s="56">
        <f t="shared" si="13"/>
        <v>0</v>
      </c>
      <c r="I142" s="56">
        <f t="shared" si="14"/>
        <v>0</v>
      </c>
      <c r="J142" s="57">
        <f t="shared" si="15"/>
        <v>0</v>
      </c>
    </row>
    <row r="143" spans="1:10" x14ac:dyDescent="0.25">
      <c r="A143" s="48"/>
      <c r="B143" s="44"/>
      <c r="C143" s="44"/>
      <c r="D143" s="44"/>
      <c r="E143" s="45"/>
      <c r="F143" s="42">
        <v>18</v>
      </c>
      <c r="G143" s="56">
        <f t="shared" si="12"/>
        <v>0</v>
      </c>
      <c r="H143" s="56">
        <f t="shared" si="13"/>
        <v>0</v>
      </c>
      <c r="I143" s="56">
        <f t="shared" si="14"/>
        <v>0</v>
      </c>
      <c r="J143" s="57">
        <f t="shared" si="15"/>
        <v>0</v>
      </c>
    </row>
    <row r="144" spans="1:10" x14ac:dyDescent="0.25">
      <c r="A144" s="48"/>
      <c r="B144" s="44"/>
      <c r="C144" s="44"/>
      <c r="D144" s="44"/>
      <c r="E144" s="45"/>
      <c r="F144" s="42">
        <v>18</v>
      </c>
      <c r="G144" s="56">
        <f t="shared" si="12"/>
        <v>0</v>
      </c>
      <c r="H144" s="56">
        <f t="shared" si="13"/>
        <v>0</v>
      </c>
      <c r="I144" s="56">
        <f t="shared" si="14"/>
        <v>0</v>
      </c>
      <c r="J144" s="57">
        <f t="shared" si="15"/>
        <v>0</v>
      </c>
    </row>
    <row r="145" spans="1:10" x14ac:dyDescent="0.25">
      <c r="A145" s="48"/>
      <c r="B145" s="44"/>
      <c r="C145" s="44"/>
      <c r="D145" s="44"/>
      <c r="E145" s="45"/>
      <c r="F145" s="42">
        <v>18</v>
      </c>
      <c r="G145" s="56">
        <f t="shared" si="12"/>
        <v>0</v>
      </c>
      <c r="H145" s="56">
        <f t="shared" si="13"/>
        <v>0</v>
      </c>
      <c r="I145" s="56">
        <f t="shared" si="14"/>
        <v>0</v>
      </c>
      <c r="J145" s="57">
        <f t="shared" si="15"/>
        <v>0</v>
      </c>
    </row>
    <row r="146" spans="1:10" x14ac:dyDescent="0.25">
      <c r="A146" s="48"/>
      <c r="B146" s="44"/>
      <c r="C146" s="44"/>
      <c r="D146" s="44"/>
      <c r="E146" s="45"/>
      <c r="F146" s="42">
        <v>18</v>
      </c>
      <c r="G146" s="56">
        <f t="shared" si="12"/>
        <v>0</v>
      </c>
      <c r="H146" s="56">
        <f t="shared" si="13"/>
        <v>0</v>
      </c>
      <c r="I146" s="56">
        <f t="shared" si="14"/>
        <v>0</v>
      </c>
      <c r="J146" s="57">
        <f t="shared" si="15"/>
        <v>0</v>
      </c>
    </row>
    <row r="147" spans="1:10" x14ac:dyDescent="0.25">
      <c r="A147" s="48"/>
      <c r="B147" s="44"/>
      <c r="C147" s="44"/>
      <c r="D147" s="44"/>
      <c r="E147" s="45"/>
      <c r="F147" s="42">
        <v>18</v>
      </c>
      <c r="G147" s="56">
        <f t="shared" si="12"/>
        <v>0</v>
      </c>
      <c r="H147" s="56">
        <f t="shared" si="13"/>
        <v>0</v>
      </c>
      <c r="I147" s="56">
        <f t="shared" si="14"/>
        <v>0</v>
      </c>
      <c r="J147" s="57">
        <f t="shared" si="15"/>
        <v>0</v>
      </c>
    </row>
    <row r="148" spans="1:10" x14ac:dyDescent="0.25">
      <c r="A148" s="48"/>
      <c r="B148" s="44"/>
      <c r="C148" s="44"/>
      <c r="D148" s="44"/>
      <c r="E148" s="45"/>
      <c r="F148" s="42">
        <v>18</v>
      </c>
      <c r="G148" s="56">
        <f t="shared" si="12"/>
        <v>0</v>
      </c>
      <c r="H148" s="56">
        <f t="shared" si="13"/>
        <v>0</v>
      </c>
      <c r="I148" s="56">
        <f t="shared" si="14"/>
        <v>0</v>
      </c>
      <c r="J148" s="57">
        <f t="shared" si="15"/>
        <v>0</v>
      </c>
    </row>
    <row r="149" spans="1:10" x14ac:dyDescent="0.25">
      <c r="A149" s="48"/>
      <c r="B149" s="44"/>
      <c r="C149" s="44"/>
      <c r="D149" s="44"/>
      <c r="E149" s="45"/>
      <c r="F149" s="42">
        <v>18</v>
      </c>
      <c r="G149" s="56">
        <f t="shared" si="12"/>
        <v>0</v>
      </c>
      <c r="H149" s="56">
        <f t="shared" si="13"/>
        <v>0</v>
      </c>
      <c r="I149" s="56">
        <f t="shared" si="14"/>
        <v>0</v>
      </c>
      <c r="J149" s="57">
        <f t="shared" si="15"/>
        <v>0</v>
      </c>
    </row>
    <row r="150" spans="1:10" x14ac:dyDescent="0.25">
      <c r="A150" s="48"/>
      <c r="B150" s="44"/>
      <c r="C150" s="44"/>
      <c r="D150" s="44"/>
      <c r="E150" s="45"/>
      <c r="F150" s="42">
        <v>18</v>
      </c>
      <c r="G150" s="56">
        <f t="shared" si="12"/>
        <v>0</v>
      </c>
      <c r="H150" s="56">
        <f t="shared" si="13"/>
        <v>0</v>
      </c>
      <c r="I150" s="56">
        <f t="shared" si="14"/>
        <v>0</v>
      </c>
      <c r="J150" s="57">
        <f t="shared" si="15"/>
        <v>0</v>
      </c>
    </row>
    <row r="151" spans="1:10" x14ac:dyDescent="0.25">
      <c r="A151" s="48"/>
      <c r="B151" s="44"/>
      <c r="C151" s="44"/>
      <c r="D151" s="44"/>
      <c r="E151" s="45"/>
      <c r="F151" s="42">
        <v>18</v>
      </c>
      <c r="G151" s="56">
        <f t="shared" si="12"/>
        <v>0</v>
      </c>
      <c r="H151" s="56">
        <f t="shared" si="13"/>
        <v>0</v>
      </c>
      <c r="I151" s="56">
        <f t="shared" si="14"/>
        <v>0</v>
      </c>
      <c r="J151" s="57">
        <f t="shared" si="15"/>
        <v>0</v>
      </c>
    </row>
    <row r="152" spans="1:10" x14ac:dyDescent="0.25">
      <c r="A152" s="48"/>
      <c r="B152" s="44"/>
      <c r="C152" s="44"/>
      <c r="D152" s="44"/>
      <c r="E152" s="45"/>
      <c r="F152" s="42">
        <v>18</v>
      </c>
      <c r="G152" s="56">
        <f t="shared" si="12"/>
        <v>0</v>
      </c>
      <c r="H152" s="56">
        <f t="shared" si="13"/>
        <v>0</v>
      </c>
      <c r="I152" s="56">
        <f t="shared" si="14"/>
        <v>0</v>
      </c>
      <c r="J152" s="57">
        <f t="shared" si="15"/>
        <v>0</v>
      </c>
    </row>
    <row r="153" spans="1:10" x14ac:dyDescent="0.25">
      <c r="A153" s="48"/>
      <c r="B153" s="44"/>
      <c r="C153" s="44"/>
      <c r="D153" s="44"/>
      <c r="E153" s="45"/>
      <c r="F153" s="42">
        <v>18</v>
      </c>
      <c r="G153" s="56">
        <f t="shared" si="12"/>
        <v>0</v>
      </c>
      <c r="H153" s="56">
        <f t="shared" si="13"/>
        <v>0</v>
      </c>
      <c r="I153" s="56">
        <f t="shared" si="14"/>
        <v>0</v>
      </c>
      <c r="J153" s="57">
        <f t="shared" si="15"/>
        <v>0</v>
      </c>
    </row>
    <row r="154" spans="1:10" x14ac:dyDescent="0.25">
      <c r="A154" s="48"/>
      <c r="B154" s="44"/>
      <c r="C154" s="44"/>
      <c r="D154" s="44"/>
      <c r="E154" s="45"/>
      <c r="F154" s="42">
        <v>18</v>
      </c>
      <c r="G154" s="56">
        <f t="shared" si="12"/>
        <v>0</v>
      </c>
      <c r="H154" s="56">
        <f t="shared" si="13"/>
        <v>0</v>
      </c>
      <c r="I154" s="56">
        <f t="shared" si="14"/>
        <v>0</v>
      </c>
      <c r="J154" s="57">
        <f t="shared" si="15"/>
        <v>0</v>
      </c>
    </row>
    <row r="155" spans="1:10" x14ac:dyDescent="0.25">
      <c r="A155" s="48"/>
      <c r="B155" s="44"/>
      <c r="C155" s="44"/>
      <c r="D155" s="44"/>
      <c r="E155" s="45"/>
      <c r="F155" s="42">
        <v>18</v>
      </c>
      <c r="G155" s="56">
        <f t="shared" si="12"/>
        <v>0</v>
      </c>
      <c r="H155" s="56">
        <f t="shared" si="13"/>
        <v>0</v>
      </c>
      <c r="I155" s="56">
        <f t="shared" si="14"/>
        <v>0</v>
      </c>
      <c r="J155" s="57">
        <f t="shared" si="15"/>
        <v>0</v>
      </c>
    </row>
    <row r="156" spans="1:10" x14ac:dyDescent="0.25">
      <c r="A156" s="48"/>
      <c r="B156" s="44"/>
      <c r="C156" s="44"/>
      <c r="D156" s="44"/>
      <c r="E156" s="45"/>
      <c r="F156" s="42">
        <v>18</v>
      </c>
      <c r="G156" s="56">
        <f t="shared" si="12"/>
        <v>0</v>
      </c>
      <c r="H156" s="56">
        <f t="shared" si="13"/>
        <v>0</v>
      </c>
      <c r="I156" s="56">
        <f t="shared" si="14"/>
        <v>0</v>
      </c>
      <c r="J156" s="57">
        <f t="shared" si="15"/>
        <v>0</v>
      </c>
    </row>
    <row r="157" spans="1:10" x14ac:dyDescent="0.25">
      <c r="A157" s="48"/>
      <c r="B157" s="44"/>
      <c r="C157" s="44"/>
      <c r="D157" s="44"/>
      <c r="E157" s="45"/>
      <c r="F157" s="42">
        <v>18</v>
      </c>
      <c r="G157" s="56">
        <f t="shared" si="12"/>
        <v>0</v>
      </c>
      <c r="H157" s="56">
        <f t="shared" si="13"/>
        <v>0</v>
      </c>
      <c r="I157" s="56">
        <f t="shared" si="14"/>
        <v>0</v>
      </c>
      <c r="J157" s="57">
        <f t="shared" si="15"/>
        <v>0</v>
      </c>
    </row>
    <row r="158" spans="1:10" x14ac:dyDescent="0.25">
      <c r="A158" s="48"/>
      <c r="B158" s="44"/>
      <c r="C158" s="44"/>
      <c r="D158" s="44"/>
      <c r="E158" s="45"/>
      <c r="F158" s="42">
        <v>18</v>
      </c>
      <c r="G158" s="56">
        <f t="shared" si="12"/>
        <v>0</v>
      </c>
      <c r="H158" s="56">
        <f t="shared" si="13"/>
        <v>0</v>
      </c>
      <c r="I158" s="56">
        <f t="shared" si="14"/>
        <v>0</v>
      </c>
      <c r="J158" s="57">
        <f t="shared" si="15"/>
        <v>0</v>
      </c>
    </row>
    <row r="159" spans="1:10" x14ac:dyDescent="0.25">
      <c r="A159" s="48"/>
      <c r="B159" s="44"/>
      <c r="C159" s="44"/>
      <c r="D159" s="44"/>
      <c r="E159" s="45"/>
      <c r="F159" s="42">
        <v>18</v>
      </c>
      <c r="G159" s="56">
        <f t="shared" si="12"/>
        <v>0</v>
      </c>
      <c r="H159" s="56">
        <f t="shared" si="13"/>
        <v>0</v>
      </c>
      <c r="I159" s="56">
        <f t="shared" si="14"/>
        <v>0</v>
      </c>
      <c r="J159" s="57">
        <f t="shared" si="15"/>
        <v>0</v>
      </c>
    </row>
    <row r="160" spans="1:10" x14ac:dyDescent="0.25">
      <c r="A160" s="48"/>
      <c r="B160" s="44"/>
      <c r="C160" s="44"/>
      <c r="D160" s="44"/>
      <c r="E160" s="45"/>
      <c r="F160" s="42">
        <v>18</v>
      </c>
      <c r="G160" s="56">
        <f t="shared" si="12"/>
        <v>0</v>
      </c>
      <c r="H160" s="56">
        <f t="shared" si="13"/>
        <v>0</v>
      </c>
      <c r="I160" s="56">
        <f t="shared" si="14"/>
        <v>0</v>
      </c>
      <c r="J160" s="57">
        <f t="shared" si="15"/>
        <v>0</v>
      </c>
    </row>
    <row r="161" spans="1:10" x14ac:dyDescent="0.25">
      <c r="A161" s="48"/>
      <c r="B161" s="44"/>
      <c r="C161" s="44"/>
      <c r="D161" s="44"/>
      <c r="E161" s="45"/>
      <c r="F161" s="42">
        <v>18</v>
      </c>
      <c r="G161" s="56">
        <f t="shared" si="12"/>
        <v>0</v>
      </c>
      <c r="H161" s="56">
        <f t="shared" si="13"/>
        <v>0</v>
      </c>
      <c r="I161" s="56">
        <f t="shared" si="14"/>
        <v>0</v>
      </c>
      <c r="J161" s="57">
        <f t="shared" si="15"/>
        <v>0</v>
      </c>
    </row>
    <row r="162" spans="1:10" x14ac:dyDescent="0.25">
      <c r="A162" s="48"/>
      <c r="B162" s="44"/>
      <c r="C162" s="44"/>
      <c r="D162" s="44"/>
      <c r="E162" s="45"/>
      <c r="F162" s="42">
        <v>18</v>
      </c>
      <c r="G162" s="56">
        <f t="shared" si="12"/>
        <v>0</v>
      </c>
      <c r="H162" s="56">
        <f t="shared" si="13"/>
        <v>0</v>
      </c>
      <c r="I162" s="56">
        <f t="shared" si="14"/>
        <v>0</v>
      </c>
      <c r="J162" s="57">
        <f t="shared" si="15"/>
        <v>0</v>
      </c>
    </row>
    <row r="163" spans="1:10" x14ac:dyDescent="0.25">
      <c r="A163" s="48"/>
      <c r="B163" s="44"/>
      <c r="C163" s="44"/>
      <c r="D163" s="44"/>
      <c r="E163" s="45"/>
      <c r="F163" s="42">
        <v>18</v>
      </c>
      <c r="G163" s="56">
        <f t="shared" si="12"/>
        <v>0</v>
      </c>
      <c r="H163" s="56">
        <f t="shared" si="13"/>
        <v>0</v>
      </c>
      <c r="I163" s="56">
        <f t="shared" si="14"/>
        <v>0</v>
      </c>
      <c r="J163" s="57">
        <f t="shared" si="15"/>
        <v>0</v>
      </c>
    </row>
    <row r="164" spans="1:10" x14ac:dyDescent="0.25">
      <c r="A164" s="48"/>
      <c r="B164" s="44"/>
      <c r="C164" s="44"/>
      <c r="D164" s="44"/>
      <c r="E164" s="45"/>
      <c r="F164" s="42">
        <v>18</v>
      </c>
      <c r="G164" s="56">
        <f t="shared" si="12"/>
        <v>0</v>
      </c>
      <c r="H164" s="56">
        <f t="shared" si="13"/>
        <v>0</v>
      </c>
      <c r="I164" s="56">
        <f t="shared" si="14"/>
        <v>0</v>
      </c>
      <c r="J164" s="57">
        <f t="shared" si="15"/>
        <v>0</v>
      </c>
    </row>
    <row r="165" spans="1:10" x14ac:dyDescent="0.25">
      <c r="A165" s="48"/>
      <c r="B165" s="44"/>
      <c r="C165" s="44"/>
      <c r="D165" s="44"/>
      <c r="E165" s="45"/>
      <c r="F165" s="42">
        <v>18</v>
      </c>
      <c r="G165" s="56">
        <f t="shared" si="12"/>
        <v>0</v>
      </c>
      <c r="H165" s="56">
        <f t="shared" si="13"/>
        <v>0</v>
      </c>
      <c r="I165" s="56">
        <f t="shared" si="14"/>
        <v>0</v>
      </c>
      <c r="J165" s="57">
        <f t="shared" si="15"/>
        <v>0</v>
      </c>
    </row>
    <row r="166" spans="1:10" x14ac:dyDescent="0.25">
      <c r="A166" s="48"/>
      <c r="B166" s="44"/>
      <c r="C166" s="44"/>
      <c r="D166" s="44"/>
      <c r="E166" s="45"/>
      <c r="F166" s="42">
        <v>18</v>
      </c>
      <c r="G166" s="56">
        <f t="shared" si="12"/>
        <v>0</v>
      </c>
      <c r="H166" s="56">
        <f t="shared" si="13"/>
        <v>0</v>
      </c>
      <c r="I166" s="56">
        <f t="shared" si="14"/>
        <v>0</v>
      </c>
      <c r="J166" s="57">
        <f t="shared" si="15"/>
        <v>0</v>
      </c>
    </row>
    <row r="167" spans="1:10" x14ac:dyDescent="0.25">
      <c r="A167" s="48"/>
      <c r="B167" s="44"/>
      <c r="C167" s="44"/>
      <c r="D167" s="44"/>
      <c r="E167" s="45"/>
      <c r="F167" s="42">
        <v>18</v>
      </c>
      <c r="G167" s="56">
        <f t="shared" si="12"/>
        <v>0</v>
      </c>
      <c r="H167" s="56">
        <f t="shared" si="13"/>
        <v>0</v>
      </c>
      <c r="I167" s="56">
        <f t="shared" si="14"/>
        <v>0</v>
      </c>
      <c r="J167" s="57">
        <f t="shared" si="15"/>
        <v>0</v>
      </c>
    </row>
    <row r="168" spans="1:10" x14ac:dyDescent="0.25">
      <c r="A168" s="48"/>
      <c r="B168" s="44"/>
      <c r="C168" s="44"/>
      <c r="D168" s="44"/>
      <c r="E168" s="45"/>
      <c r="F168" s="42">
        <v>18</v>
      </c>
      <c r="G168" s="56">
        <f t="shared" si="12"/>
        <v>0</v>
      </c>
      <c r="H168" s="56">
        <f t="shared" si="13"/>
        <v>0</v>
      </c>
      <c r="I168" s="56">
        <f t="shared" si="14"/>
        <v>0</v>
      </c>
      <c r="J168" s="57">
        <f t="shared" si="15"/>
        <v>0</v>
      </c>
    </row>
    <row r="169" spans="1:10" x14ac:dyDescent="0.25">
      <c r="A169" s="48"/>
      <c r="B169" s="44"/>
      <c r="C169" s="44"/>
      <c r="D169" s="44"/>
      <c r="E169" s="45"/>
      <c r="F169" s="42">
        <v>18</v>
      </c>
      <c r="G169" s="56">
        <f t="shared" si="12"/>
        <v>0</v>
      </c>
      <c r="H169" s="56">
        <f t="shared" si="13"/>
        <v>0</v>
      </c>
      <c r="I169" s="56">
        <f t="shared" si="14"/>
        <v>0</v>
      </c>
      <c r="J169" s="57">
        <f t="shared" si="15"/>
        <v>0</v>
      </c>
    </row>
    <row r="170" spans="1:10" x14ac:dyDescent="0.25">
      <c r="A170" s="48"/>
      <c r="B170" s="44"/>
      <c r="C170" s="44"/>
      <c r="D170" s="44"/>
      <c r="E170" s="45"/>
      <c r="F170" s="42">
        <v>18</v>
      </c>
      <c r="G170" s="56">
        <f t="shared" si="12"/>
        <v>0</v>
      </c>
      <c r="H170" s="56">
        <f t="shared" si="13"/>
        <v>0</v>
      </c>
      <c r="I170" s="56">
        <f t="shared" si="14"/>
        <v>0</v>
      </c>
      <c r="J170" s="57">
        <f t="shared" si="15"/>
        <v>0</v>
      </c>
    </row>
    <row r="171" spans="1:10" x14ac:dyDescent="0.25">
      <c r="A171" s="48"/>
      <c r="B171" s="44"/>
      <c r="C171" s="44"/>
      <c r="D171" s="44"/>
      <c r="E171" s="45"/>
      <c r="F171" s="42">
        <v>18</v>
      </c>
      <c r="G171" s="56">
        <f t="shared" si="12"/>
        <v>0</v>
      </c>
      <c r="H171" s="56">
        <f t="shared" si="13"/>
        <v>0</v>
      </c>
      <c r="I171" s="56">
        <f t="shared" si="14"/>
        <v>0</v>
      </c>
      <c r="J171" s="57">
        <f t="shared" si="15"/>
        <v>0</v>
      </c>
    </row>
    <row r="172" spans="1:10" x14ac:dyDescent="0.25">
      <c r="A172" s="48"/>
      <c r="B172" s="44"/>
      <c r="C172" s="44"/>
      <c r="D172" s="44"/>
      <c r="E172" s="45"/>
      <c r="F172" s="42">
        <v>18</v>
      </c>
      <c r="G172" s="56">
        <f t="shared" si="12"/>
        <v>0</v>
      </c>
      <c r="H172" s="56">
        <f t="shared" si="13"/>
        <v>0</v>
      </c>
      <c r="I172" s="56">
        <f t="shared" si="14"/>
        <v>0</v>
      </c>
      <c r="J172" s="57">
        <f t="shared" si="15"/>
        <v>0</v>
      </c>
    </row>
    <row r="173" spans="1:10" x14ac:dyDescent="0.25">
      <c r="A173" s="48"/>
      <c r="B173" s="44"/>
      <c r="C173" s="44"/>
      <c r="D173" s="44"/>
      <c r="E173" s="45"/>
      <c r="F173" s="42">
        <v>18</v>
      </c>
      <c r="G173" s="56">
        <f t="shared" si="12"/>
        <v>0</v>
      </c>
      <c r="H173" s="56">
        <f t="shared" si="13"/>
        <v>0</v>
      </c>
      <c r="I173" s="56">
        <f t="shared" si="14"/>
        <v>0</v>
      </c>
      <c r="J173" s="57">
        <f t="shared" si="15"/>
        <v>0</v>
      </c>
    </row>
    <row r="174" spans="1:10" x14ac:dyDescent="0.25">
      <c r="A174" s="48"/>
      <c r="B174" s="44"/>
      <c r="C174" s="44"/>
      <c r="D174" s="44"/>
      <c r="E174" s="45"/>
      <c r="F174" s="42">
        <v>18</v>
      </c>
      <c r="G174" s="56">
        <f t="shared" si="12"/>
        <v>0</v>
      </c>
      <c r="H174" s="56">
        <f t="shared" si="13"/>
        <v>0</v>
      </c>
      <c r="I174" s="56">
        <f t="shared" si="14"/>
        <v>0</v>
      </c>
      <c r="J174" s="57">
        <f t="shared" si="15"/>
        <v>0</v>
      </c>
    </row>
    <row r="175" spans="1:10" x14ac:dyDescent="0.25">
      <c r="A175" s="48"/>
      <c r="B175" s="44"/>
      <c r="C175" s="44"/>
      <c r="D175" s="44"/>
      <c r="E175" s="45"/>
      <c r="F175" s="42">
        <v>18</v>
      </c>
      <c r="G175" s="56">
        <f t="shared" si="12"/>
        <v>0</v>
      </c>
      <c r="H175" s="56">
        <f t="shared" si="13"/>
        <v>0</v>
      </c>
      <c r="I175" s="56">
        <f t="shared" si="14"/>
        <v>0</v>
      </c>
      <c r="J175" s="57">
        <f t="shared" si="15"/>
        <v>0</v>
      </c>
    </row>
    <row r="176" spans="1:10" x14ac:dyDescent="0.25">
      <c r="A176" s="48"/>
      <c r="B176" s="44"/>
      <c r="C176" s="44"/>
      <c r="D176" s="44"/>
      <c r="E176" s="45"/>
      <c r="F176" s="42">
        <v>18</v>
      </c>
      <c r="G176" s="56">
        <f t="shared" si="12"/>
        <v>0</v>
      </c>
      <c r="H176" s="56">
        <f t="shared" si="13"/>
        <v>0</v>
      </c>
      <c r="I176" s="56">
        <f t="shared" si="14"/>
        <v>0</v>
      </c>
      <c r="J176" s="57">
        <f t="shared" si="15"/>
        <v>0</v>
      </c>
    </row>
    <row r="177" spans="1:10" x14ac:dyDescent="0.25">
      <c r="A177" s="48"/>
      <c r="B177" s="44"/>
      <c r="C177" s="44"/>
      <c r="D177" s="44"/>
      <c r="E177" s="45"/>
      <c r="F177" s="42">
        <v>18</v>
      </c>
      <c r="G177" s="56">
        <f t="shared" si="12"/>
        <v>0</v>
      </c>
      <c r="H177" s="56">
        <f t="shared" si="13"/>
        <v>0</v>
      </c>
      <c r="I177" s="56">
        <f t="shared" si="14"/>
        <v>0</v>
      </c>
      <c r="J177" s="57">
        <f t="shared" si="15"/>
        <v>0</v>
      </c>
    </row>
    <row r="178" spans="1:10" x14ac:dyDescent="0.25">
      <c r="A178" s="48"/>
      <c r="B178" s="44"/>
      <c r="C178" s="44"/>
      <c r="D178" s="44"/>
      <c r="E178" s="45"/>
      <c r="F178" s="42">
        <v>18</v>
      </c>
      <c r="G178" s="56">
        <f t="shared" si="12"/>
        <v>0</v>
      </c>
      <c r="H178" s="56">
        <f t="shared" si="13"/>
        <v>0</v>
      </c>
      <c r="I178" s="56">
        <f t="shared" si="14"/>
        <v>0</v>
      </c>
      <c r="J178" s="57">
        <f t="shared" si="15"/>
        <v>0</v>
      </c>
    </row>
    <row r="179" spans="1:10" x14ac:dyDescent="0.25">
      <c r="A179" s="48"/>
      <c r="B179" s="44"/>
      <c r="C179" s="44"/>
      <c r="D179" s="44"/>
      <c r="E179" s="45"/>
      <c r="F179" s="42">
        <v>18</v>
      </c>
      <c r="G179" s="56">
        <f t="shared" si="12"/>
        <v>0</v>
      </c>
      <c r="H179" s="56">
        <f t="shared" si="13"/>
        <v>0</v>
      </c>
      <c r="I179" s="56">
        <f t="shared" si="14"/>
        <v>0</v>
      </c>
      <c r="J179" s="57">
        <f t="shared" si="15"/>
        <v>0</v>
      </c>
    </row>
    <row r="180" spans="1:10" x14ac:dyDescent="0.25">
      <c r="A180" s="48"/>
      <c r="B180" s="44"/>
      <c r="C180" s="44"/>
      <c r="D180" s="44"/>
      <c r="E180" s="45"/>
      <c r="F180" s="42">
        <v>18</v>
      </c>
      <c r="G180" s="56">
        <f t="shared" si="12"/>
        <v>0</v>
      </c>
      <c r="H180" s="56">
        <f t="shared" si="13"/>
        <v>0</v>
      </c>
      <c r="I180" s="56">
        <f t="shared" si="14"/>
        <v>0</v>
      </c>
      <c r="J180" s="57">
        <f t="shared" si="15"/>
        <v>0</v>
      </c>
    </row>
    <row r="181" spans="1:10" x14ac:dyDescent="0.25">
      <c r="A181" s="48"/>
      <c r="B181" s="44"/>
      <c r="C181" s="44"/>
      <c r="D181" s="44"/>
      <c r="E181" s="45"/>
      <c r="F181" s="42">
        <v>18</v>
      </c>
      <c r="G181" s="56">
        <f t="shared" si="12"/>
        <v>0</v>
      </c>
      <c r="H181" s="56">
        <f t="shared" si="13"/>
        <v>0</v>
      </c>
      <c r="I181" s="56">
        <f t="shared" si="14"/>
        <v>0</v>
      </c>
      <c r="J181" s="57">
        <f t="shared" si="15"/>
        <v>0</v>
      </c>
    </row>
    <row r="182" spans="1:10" x14ac:dyDescent="0.25">
      <c r="A182" s="48"/>
      <c r="B182" s="44"/>
      <c r="C182" s="44"/>
      <c r="D182" s="44"/>
      <c r="E182" s="45"/>
      <c r="F182" s="42">
        <v>18</v>
      </c>
      <c r="G182" s="56">
        <f t="shared" si="12"/>
        <v>0</v>
      </c>
      <c r="H182" s="56">
        <f t="shared" si="13"/>
        <v>0</v>
      </c>
      <c r="I182" s="56">
        <f t="shared" si="14"/>
        <v>0</v>
      </c>
      <c r="J182" s="57">
        <f t="shared" si="15"/>
        <v>0</v>
      </c>
    </row>
    <row r="183" spans="1:10" x14ac:dyDescent="0.25">
      <c r="A183" s="48"/>
      <c r="B183" s="44"/>
      <c r="C183" s="44"/>
      <c r="D183" s="44"/>
      <c r="E183" s="45"/>
      <c r="F183" s="42">
        <v>18</v>
      </c>
      <c r="G183" s="56">
        <f t="shared" si="12"/>
        <v>0</v>
      </c>
      <c r="H183" s="56">
        <f t="shared" si="13"/>
        <v>0</v>
      </c>
      <c r="I183" s="56">
        <f t="shared" si="14"/>
        <v>0</v>
      </c>
      <c r="J183" s="57">
        <f t="shared" si="15"/>
        <v>0</v>
      </c>
    </row>
    <row r="184" spans="1:10" x14ac:dyDescent="0.25">
      <c r="A184" s="48"/>
      <c r="B184" s="44"/>
      <c r="C184" s="44"/>
      <c r="D184" s="44"/>
      <c r="E184" s="45"/>
      <c r="F184" s="42">
        <v>18</v>
      </c>
      <c r="G184" s="56">
        <f t="shared" si="12"/>
        <v>0</v>
      </c>
      <c r="H184" s="56">
        <f t="shared" si="13"/>
        <v>0</v>
      </c>
      <c r="I184" s="56">
        <f t="shared" si="14"/>
        <v>0</v>
      </c>
      <c r="J184" s="57">
        <f t="shared" si="15"/>
        <v>0</v>
      </c>
    </row>
    <row r="185" spans="1:10" x14ac:dyDescent="0.25">
      <c r="A185" s="48"/>
      <c r="B185" s="44"/>
      <c r="C185" s="44"/>
      <c r="D185" s="44"/>
      <c r="E185" s="45"/>
      <c r="F185" s="42">
        <v>18</v>
      </c>
      <c r="G185" s="56">
        <f t="shared" si="12"/>
        <v>0</v>
      </c>
      <c r="H185" s="56">
        <f t="shared" si="13"/>
        <v>0</v>
      </c>
      <c r="I185" s="56">
        <f t="shared" si="14"/>
        <v>0</v>
      </c>
      <c r="J185" s="57">
        <f t="shared" si="15"/>
        <v>0</v>
      </c>
    </row>
    <row r="186" spans="1:10" x14ac:dyDescent="0.25">
      <c r="A186" s="48"/>
      <c r="B186" s="44"/>
      <c r="C186" s="44"/>
      <c r="D186" s="44"/>
      <c r="E186" s="45"/>
      <c r="F186" s="42">
        <v>18</v>
      </c>
      <c r="G186" s="56">
        <f t="shared" si="12"/>
        <v>0</v>
      </c>
      <c r="H186" s="56">
        <f t="shared" si="13"/>
        <v>0</v>
      </c>
      <c r="I186" s="56">
        <f t="shared" si="14"/>
        <v>0</v>
      </c>
      <c r="J186" s="57">
        <f t="shared" si="15"/>
        <v>0</v>
      </c>
    </row>
    <row r="187" spans="1:10" x14ac:dyDescent="0.25">
      <c r="A187" s="48"/>
      <c r="B187" s="44"/>
      <c r="C187" s="44"/>
      <c r="D187" s="44"/>
      <c r="E187" s="45"/>
      <c r="F187" s="42">
        <v>18</v>
      </c>
      <c r="G187" s="56">
        <f t="shared" si="12"/>
        <v>0</v>
      </c>
      <c r="H187" s="56">
        <f t="shared" si="13"/>
        <v>0</v>
      </c>
      <c r="I187" s="56">
        <f t="shared" si="14"/>
        <v>0</v>
      </c>
      <c r="J187" s="57">
        <f t="shared" si="15"/>
        <v>0</v>
      </c>
    </row>
    <row r="188" spans="1:10" x14ac:dyDescent="0.25">
      <c r="A188" s="48"/>
      <c r="B188" s="44"/>
      <c r="C188" s="44"/>
      <c r="D188" s="44"/>
      <c r="E188" s="45"/>
      <c r="F188" s="42">
        <v>18</v>
      </c>
      <c r="G188" s="56">
        <f t="shared" si="12"/>
        <v>0</v>
      </c>
      <c r="H188" s="56">
        <f t="shared" si="13"/>
        <v>0</v>
      </c>
      <c r="I188" s="56">
        <f t="shared" si="14"/>
        <v>0</v>
      </c>
      <c r="J188" s="57">
        <f t="shared" si="15"/>
        <v>0</v>
      </c>
    </row>
    <row r="189" spans="1:10" x14ac:dyDescent="0.25">
      <c r="A189" s="48"/>
      <c r="B189" s="44"/>
      <c r="C189" s="44"/>
      <c r="D189" s="44"/>
      <c r="E189" s="45"/>
      <c r="F189" s="42">
        <v>18</v>
      </c>
      <c r="G189" s="56">
        <f t="shared" si="12"/>
        <v>0</v>
      </c>
      <c r="H189" s="56">
        <f t="shared" si="13"/>
        <v>0</v>
      </c>
      <c r="I189" s="56">
        <f t="shared" si="14"/>
        <v>0</v>
      </c>
      <c r="J189" s="57">
        <f t="shared" si="15"/>
        <v>0</v>
      </c>
    </row>
    <row r="190" spans="1:10" x14ac:dyDescent="0.25">
      <c r="A190" s="48"/>
      <c r="B190" s="44"/>
      <c r="C190" s="44"/>
      <c r="D190" s="44"/>
      <c r="E190" s="45"/>
      <c r="F190" s="42">
        <v>18</v>
      </c>
      <c r="G190" s="56">
        <f t="shared" si="12"/>
        <v>0</v>
      </c>
      <c r="H190" s="56">
        <f t="shared" si="13"/>
        <v>0</v>
      </c>
      <c r="I190" s="56">
        <f t="shared" si="14"/>
        <v>0</v>
      </c>
      <c r="J190" s="57">
        <f t="shared" si="15"/>
        <v>0</v>
      </c>
    </row>
    <row r="191" spans="1:10" x14ac:dyDescent="0.25">
      <c r="A191" s="48"/>
      <c r="B191" s="44"/>
      <c r="C191" s="44"/>
      <c r="D191" s="44"/>
      <c r="E191" s="45"/>
      <c r="F191" s="42">
        <v>18</v>
      </c>
      <c r="G191" s="56">
        <f t="shared" si="12"/>
        <v>0</v>
      </c>
      <c r="H191" s="56">
        <f t="shared" si="13"/>
        <v>0</v>
      </c>
      <c r="I191" s="56">
        <f t="shared" si="14"/>
        <v>0</v>
      </c>
      <c r="J191" s="57">
        <f t="shared" si="15"/>
        <v>0</v>
      </c>
    </row>
    <row r="192" spans="1:10" x14ac:dyDescent="0.25">
      <c r="A192" s="48"/>
      <c r="B192" s="44"/>
      <c r="C192" s="44"/>
      <c r="D192" s="44"/>
      <c r="E192" s="45"/>
      <c r="F192" s="42">
        <v>18</v>
      </c>
      <c r="G192" s="56">
        <f t="shared" si="12"/>
        <v>0</v>
      </c>
      <c r="H192" s="56">
        <f t="shared" si="13"/>
        <v>0</v>
      </c>
      <c r="I192" s="56">
        <f t="shared" si="14"/>
        <v>0</v>
      </c>
      <c r="J192" s="57">
        <f t="shared" si="15"/>
        <v>0</v>
      </c>
    </row>
    <row r="193" spans="1:10" x14ac:dyDescent="0.25">
      <c r="A193" s="48"/>
      <c r="B193" s="44"/>
      <c r="C193" s="44"/>
      <c r="D193" s="44"/>
      <c r="E193" s="45"/>
      <c r="F193" s="42">
        <v>18</v>
      </c>
      <c r="G193" s="56">
        <f t="shared" si="12"/>
        <v>0</v>
      </c>
      <c r="H193" s="56">
        <f t="shared" si="13"/>
        <v>0</v>
      </c>
      <c r="I193" s="56">
        <f t="shared" si="14"/>
        <v>0</v>
      </c>
      <c r="J193" s="57">
        <f t="shared" si="15"/>
        <v>0</v>
      </c>
    </row>
    <row r="194" spans="1:10" x14ac:dyDescent="0.25">
      <c r="A194" s="48"/>
      <c r="B194" s="44"/>
      <c r="C194" s="44"/>
      <c r="D194" s="44"/>
      <c r="E194" s="45"/>
      <c r="F194" s="42">
        <v>18</v>
      </c>
      <c r="G194" s="56">
        <f t="shared" si="12"/>
        <v>0</v>
      </c>
      <c r="H194" s="56">
        <f t="shared" si="13"/>
        <v>0</v>
      </c>
      <c r="I194" s="56">
        <f t="shared" si="14"/>
        <v>0</v>
      </c>
      <c r="J194" s="57">
        <f t="shared" si="15"/>
        <v>0</v>
      </c>
    </row>
    <row r="195" spans="1:10" x14ac:dyDescent="0.25">
      <c r="A195" s="48"/>
      <c r="B195" s="44"/>
      <c r="C195" s="44"/>
      <c r="D195" s="44"/>
      <c r="E195" s="45"/>
      <c r="F195" s="42">
        <v>18</v>
      </c>
      <c r="G195" s="56">
        <f t="shared" si="12"/>
        <v>0</v>
      </c>
      <c r="H195" s="56">
        <f t="shared" si="13"/>
        <v>0</v>
      </c>
      <c r="I195" s="56">
        <f t="shared" si="14"/>
        <v>0</v>
      </c>
      <c r="J195" s="57">
        <f t="shared" si="15"/>
        <v>0</v>
      </c>
    </row>
    <row r="196" spans="1:10" x14ac:dyDescent="0.25">
      <c r="A196" s="48"/>
      <c r="B196" s="44"/>
      <c r="C196" s="44"/>
      <c r="D196" s="44"/>
      <c r="E196" s="45"/>
      <c r="F196" s="42">
        <v>18</v>
      </c>
      <c r="G196" s="56">
        <f t="shared" si="12"/>
        <v>0</v>
      </c>
      <c r="H196" s="56">
        <f t="shared" si="13"/>
        <v>0</v>
      </c>
      <c r="I196" s="56">
        <f t="shared" si="14"/>
        <v>0</v>
      </c>
      <c r="J196" s="57">
        <f t="shared" si="15"/>
        <v>0</v>
      </c>
    </row>
    <row r="197" spans="1:10" x14ac:dyDescent="0.25">
      <c r="A197" s="48"/>
      <c r="B197" s="44"/>
      <c r="C197" s="44"/>
      <c r="D197" s="44"/>
      <c r="E197" s="45"/>
      <c r="F197" s="42">
        <v>18</v>
      </c>
      <c r="G197" s="56">
        <f t="shared" si="12"/>
        <v>0</v>
      </c>
      <c r="H197" s="56">
        <f t="shared" si="13"/>
        <v>0</v>
      </c>
      <c r="I197" s="56">
        <f t="shared" si="14"/>
        <v>0</v>
      </c>
      <c r="J197" s="57">
        <f t="shared" si="15"/>
        <v>0</v>
      </c>
    </row>
    <row r="198" spans="1:10" x14ac:dyDescent="0.25">
      <c r="A198" s="48"/>
      <c r="B198" s="44"/>
      <c r="C198" s="44"/>
      <c r="D198" s="44"/>
      <c r="E198" s="45"/>
      <c r="F198" s="42">
        <v>18</v>
      </c>
      <c r="G198" s="56">
        <f t="shared" ref="G198:G261" si="16">ROUND((E198*F198%)/2,)</f>
        <v>0</v>
      </c>
      <c r="H198" s="56">
        <f t="shared" ref="H198:H261" si="17">G198</f>
        <v>0</v>
      </c>
      <c r="I198" s="56">
        <f t="shared" ref="I198:I261" si="18">G198+H198</f>
        <v>0</v>
      </c>
      <c r="J198" s="57">
        <f t="shared" ref="J198:J261" si="19">E198+I198</f>
        <v>0</v>
      </c>
    </row>
    <row r="199" spans="1:10" x14ac:dyDescent="0.25">
      <c r="A199" s="48"/>
      <c r="B199" s="44"/>
      <c r="C199" s="44"/>
      <c r="D199" s="44"/>
      <c r="E199" s="45"/>
      <c r="F199" s="42">
        <v>18</v>
      </c>
      <c r="G199" s="56">
        <f t="shared" si="16"/>
        <v>0</v>
      </c>
      <c r="H199" s="56">
        <f t="shared" si="17"/>
        <v>0</v>
      </c>
      <c r="I199" s="56">
        <f t="shared" si="18"/>
        <v>0</v>
      </c>
      <c r="J199" s="57">
        <f t="shared" si="19"/>
        <v>0</v>
      </c>
    </row>
    <row r="200" spans="1:10" x14ac:dyDescent="0.25">
      <c r="A200" s="48"/>
      <c r="B200" s="44"/>
      <c r="C200" s="44"/>
      <c r="D200" s="44"/>
      <c r="E200" s="45"/>
      <c r="F200" s="42">
        <v>18</v>
      </c>
      <c r="G200" s="56">
        <f t="shared" si="16"/>
        <v>0</v>
      </c>
      <c r="H200" s="56">
        <f t="shared" si="17"/>
        <v>0</v>
      </c>
      <c r="I200" s="56">
        <f t="shared" si="18"/>
        <v>0</v>
      </c>
      <c r="J200" s="57">
        <f t="shared" si="19"/>
        <v>0</v>
      </c>
    </row>
    <row r="201" spans="1:10" x14ac:dyDescent="0.25">
      <c r="A201" s="48"/>
      <c r="B201" s="44"/>
      <c r="C201" s="44"/>
      <c r="D201" s="44"/>
      <c r="E201" s="45"/>
      <c r="F201" s="42">
        <v>18</v>
      </c>
      <c r="G201" s="56">
        <f t="shared" si="16"/>
        <v>0</v>
      </c>
      <c r="H201" s="56">
        <f t="shared" si="17"/>
        <v>0</v>
      </c>
      <c r="I201" s="56">
        <f t="shared" si="18"/>
        <v>0</v>
      </c>
      <c r="J201" s="57">
        <f t="shared" si="19"/>
        <v>0</v>
      </c>
    </row>
    <row r="202" spans="1:10" x14ac:dyDescent="0.25">
      <c r="A202" s="48"/>
      <c r="B202" s="44"/>
      <c r="C202" s="44"/>
      <c r="D202" s="44"/>
      <c r="E202" s="45"/>
      <c r="F202" s="42">
        <v>18</v>
      </c>
      <c r="G202" s="56">
        <f t="shared" si="16"/>
        <v>0</v>
      </c>
      <c r="H202" s="56">
        <f t="shared" si="17"/>
        <v>0</v>
      </c>
      <c r="I202" s="56">
        <f t="shared" si="18"/>
        <v>0</v>
      </c>
      <c r="J202" s="57">
        <f t="shared" si="19"/>
        <v>0</v>
      </c>
    </row>
    <row r="203" spans="1:10" x14ac:dyDescent="0.25">
      <c r="A203" s="48"/>
      <c r="B203" s="44"/>
      <c r="C203" s="44"/>
      <c r="D203" s="44"/>
      <c r="E203" s="45"/>
      <c r="F203" s="42">
        <v>18</v>
      </c>
      <c r="G203" s="56">
        <f t="shared" si="16"/>
        <v>0</v>
      </c>
      <c r="H203" s="56">
        <f t="shared" si="17"/>
        <v>0</v>
      </c>
      <c r="I203" s="56">
        <f t="shared" si="18"/>
        <v>0</v>
      </c>
      <c r="J203" s="57">
        <f t="shared" si="19"/>
        <v>0</v>
      </c>
    </row>
    <row r="204" spans="1:10" x14ac:dyDescent="0.25">
      <c r="A204" s="48"/>
      <c r="B204" s="44"/>
      <c r="C204" s="44"/>
      <c r="D204" s="44"/>
      <c r="E204" s="45"/>
      <c r="F204" s="42">
        <v>18</v>
      </c>
      <c r="G204" s="56">
        <f t="shared" si="16"/>
        <v>0</v>
      </c>
      <c r="H204" s="56">
        <f t="shared" si="17"/>
        <v>0</v>
      </c>
      <c r="I204" s="56">
        <f t="shared" si="18"/>
        <v>0</v>
      </c>
      <c r="J204" s="57">
        <f t="shared" si="19"/>
        <v>0</v>
      </c>
    </row>
    <row r="205" spans="1:10" x14ac:dyDescent="0.25">
      <c r="A205" s="48"/>
      <c r="B205" s="44"/>
      <c r="C205" s="44"/>
      <c r="D205" s="44"/>
      <c r="E205" s="45"/>
      <c r="F205" s="42">
        <v>18</v>
      </c>
      <c r="G205" s="56">
        <f t="shared" si="16"/>
        <v>0</v>
      </c>
      <c r="H205" s="56">
        <f t="shared" si="17"/>
        <v>0</v>
      </c>
      <c r="I205" s="56">
        <f t="shared" si="18"/>
        <v>0</v>
      </c>
      <c r="J205" s="57">
        <f t="shared" si="19"/>
        <v>0</v>
      </c>
    </row>
    <row r="206" spans="1:10" x14ac:dyDescent="0.25">
      <c r="A206" s="48"/>
      <c r="B206" s="44"/>
      <c r="C206" s="44"/>
      <c r="D206" s="44"/>
      <c r="E206" s="45"/>
      <c r="F206" s="42">
        <v>18</v>
      </c>
      <c r="G206" s="56">
        <f t="shared" si="16"/>
        <v>0</v>
      </c>
      <c r="H206" s="56">
        <f t="shared" si="17"/>
        <v>0</v>
      </c>
      <c r="I206" s="56">
        <f t="shared" si="18"/>
        <v>0</v>
      </c>
      <c r="J206" s="57">
        <f t="shared" si="19"/>
        <v>0</v>
      </c>
    </row>
    <row r="207" spans="1:10" x14ac:dyDescent="0.25">
      <c r="A207" s="48"/>
      <c r="B207" s="44"/>
      <c r="C207" s="44"/>
      <c r="D207" s="44"/>
      <c r="E207" s="45"/>
      <c r="F207" s="42">
        <v>18</v>
      </c>
      <c r="G207" s="56">
        <f t="shared" si="16"/>
        <v>0</v>
      </c>
      <c r="H207" s="56">
        <f t="shared" si="17"/>
        <v>0</v>
      </c>
      <c r="I207" s="56">
        <f t="shared" si="18"/>
        <v>0</v>
      </c>
      <c r="J207" s="57">
        <f t="shared" si="19"/>
        <v>0</v>
      </c>
    </row>
    <row r="208" spans="1:10" x14ac:dyDescent="0.25">
      <c r="A208" s="48"/>
      <c r="B208" s="44"/>
      <c r="C208" s="44"/>
      <c r="D208" s="44"/>
      <c r="E208" s="45"/>
      <c r="F208" s="42">
        <v>18</v>
      </c>
      <c r="G208" s="56">
        <f t="shared" si="16"/>
        <v>0</v>
      </c>
      <c r="H208" s="56">
        <f t="shared" si="17"/>
        <v>0</v>
      </c>
      <c r="I208" s="56">
        <f t="shared" si="18"/>
        <v>0</v>
      </c>
      <c r="J208" s="57">
        <f t="shared" si="19"/>
        <v>0</v>
      </c>
    </row>
    <row r="209" spans="1:10" x14ac:dyDescent="0.25">
      <c r="A209" s="48"/>
      <c r="B209" s="44"/>
      <c r="C209" s="44"/>
      <c r="D209" s="44"/>
      <c r="E209" s="45"/>
      <c r="F209" s="42">
        <v>18</v>
      </c>
      <c r="G209" s="56">
        <f t="shared" si="16"/>
        <v>0</v>
      </c>
      <c r="H209" s="56">
        <f t="shared" si="17"/>
        <v>0</v>
      </c>
      <c r="I209" s="56">
        <f t="shared" si="18"/>
        <v>0</v>
      </c>
      <c r="J209" s="57">
        <f t="shared" si="19"/>
        <v>0</v>
      </c>
    </row>
    <row r="210" spans="1:10" x14ac:dyDescent="0.25">
      <c r="A210" s="48"/>
      <c r="B210" s="44"/>
      <c r="C210" s="44"/>
      <c r="D210" s="44"/>
      <c r="E210" s="45"/>
      <c r="F210" s="42">
        <v>18</v>
      </c>
      <c r="G210" s="56">
        <f t="shared" si="16"/>
        <v>0</v>
      </c>
      <c r="H210" s="56">
        <f t="shared" si="17"/>
        <v>0</v>
      </c>
      <c r="I210" s="56">
        <f t="shared" si="18"/>
        <v>0</v>
      </c>
      <c r="J210" s="57">
        <f t="shared" si="19"/>
        <v>0</v>
      </c>
    </row>
    <row r="211" spans="1:10" x14ac:dyDescent="0.25">
      <c r="A211" s="48"/>
      <c r="B211" s="44"/>
      <c r="C211" s="44"/>
      <c r="D211" s="44"/>
      <c r="E211" s="45"/>
      <c r="F211" s="42">
        <v>18</v>
      </c>
      <c r="G211" s="56">
        <f t="shared" si="16"/>
        <v>0</v>
      </c>
      <c r="H211" s="56">
        <f t="shared" si="17"/>
        <v>0</v>
      </c>
      <c r="I211" s="56">
        <f t="shared" si="18"/>
        <v>0</v>
      </c>
      <c r="J211" s="57">
        <f t="shared" si="19"/>
        <v>0</v>
      </c>
    </row>
    <row r="212" spans="1:10" x14ac:dyDescent="0.25">
      <c r="A212" s="48"/>
      <c r="B212" s="44"/>
      <c r="C212" s="44"/>
      <c r="D212" s="44"/>
      <c r="E212" s="45"/>
      <c r="F212" s="42">
        <v>18</v>
      </c>
      <c r="G212" s="56">
        <f t="shared" si="16"/>
        <v>0</v>
      </c>
      <c r="H212" s="56">
        <f t="shared" si="17"/>
        <v>0</v>
      </c>
      <c r="I212" s="56">
        <f t="shared" si="18"/>
        <v>0</v>
      </c>
      <c r="J212" s="57">
        <f t="shared" si="19"/>
        <v>0</v>
      </c>
    </row>
    <row r="213" spans="1:10" x14ac:dyDescent="0.25">
      <c r="A213" s="48"/>
      <c r="B213" s="44"/>
      <c r="C213" s="44"/>
      <c r="D213" s="44"/>
      <c r="E213" s="45"/>
      <c r="F213" s="42">
        <v>18</v>
      </c>
      <c r="G213" s="56">
        <f t="shared" si="16"/>
        <v>0</v>
      </c>
      <c r="H213" s="56">
        <f t="shared" si="17"/>
        <v>0</v>
      </c>
      <c r="I213" s="56">
        <f t="shared" si="18"/>
        <v>0</v>
      </c>
      <c r="J213" s="57">
        <f t="shared" si="19"/>
        <v>0</v>
      </c>
    </row>
    <row r="214" spans="1:10" x14ac:dyDescent="0.25">
      <c r="A214" s="48"/>
      <c r="B214" s="44"/>
      <c r="C214" s="44"/>
      <c r="D214" s="44"/>
      <c r="E214" s="45"/>
      <c r="F214" s="42">
        <v>18</v>
      </c>
      <c r="G214" s="56">
        <f t="shared" si="16"/>
        <v>0</v>
      </c>
      <c r="H214" s="56">
        <f t="shared" si="17"/>
        <v>0</v>
      </c>
      <c r="I214" s="56">
        <f t="shared" si="18"/>
        <v>0</v>
      </c>
      <c r="J214" s="57">
        <f t="shared" si="19"/>
        <v>0</v>
      </c>
    </row>
    <row r="215" spans="1:10" x14ac:dyDescent="0.25">
      <c r="A215" s="48"/>
      <c r="B215" s="44"/>
      <c r="C215" s="44"/>
      <c r="D215" s="44"/>
      <c r="E215" s="45"/>
      <c r="F215" s="42">
        <v>18</v>
      </c>
      <c r="G215" s="56">
        <f t="shared" si="16"/>
        <v>0</v>
      </c>
      <c r="H215" s="56">
        <f t="shared" si="17"/>
        <v>0</v>
      </c>
      <c r="I215" s="56">
        <f t="shared" si="18"/>
        <v>0</v>
      </c>
      <c r="J215" s="57">
        <f t="shared" si="19"/>
        <v>0</v>
      </c>
    </row>
    <row r="216" spans="1:10" x14ac:dyDescent="0.25">
      <c r="A216" s="48"/>
      <c r="B216" s="44"/>
      <c r="C216" s="44"/>
      <c r="D216" s="44"/>
      <c r="E216" s="45"/>
      <c r="F216" s="42">
        <v>18</v>
      </c>
      <c r="G216" s="56">
        <f t="shared" si="16"/>
        <v>0</v>
      </c>
      <c r="H216" s="56">
        <f t="shared" si="17"/>
        <v>0</v>
      </c>
      <c r="I216" s="56">
        <f t="shared" si="18"/>
        <v>0</v>
      </c>
      <c r="J216" s="57">
        <f t="shared" si="19"/>
        <v>0</v>
      </c>
    </row>
    <row r="217" spans="1:10" x14ac:dyDescent="0.25">
      <c r="A217" s="48"/>
      <c r="B217" s="44"/>
      <c r="C217" s="44"/>
      <c r="D217" s="44"/>
      <c r="E217" s="45"/>
      <c r="F217" s="42">
        <v>18</v>
      </c>
      <c r="G217" s="56">
        <f t="shared" si="16"/>
        <v>0</v>
      </c>
      <c r="H217" s="56">
        <f t="shared" si="17"/>
        <v>0</v>
      </c>
      <c r="I217" s="56">
        <f t="shared" si="18"/>
        <v>0</v>
      </c>
      <c r="J217" s="57">
        <f t="shared" si="19"/>
        <v>0</v>
      </c>
    </row>
    <row r="218" spans="1:10" x14ac:dyDescent="0.25">
      <c r="A218" s="48"/>
      <c r="B218" s="44"/>
      <c r="C218" s="44"/>
      <c r="D218" s="44"/>
      <c r="E218" s="45"/>
      <c r="F218" s="42">
        <v>18</v>
      </c>
      <c r="G218" s="56">
        <f t="shared" si="16"/>
        <v>0</v>
      </c>
      <c r="H218" s="56">
        <f t="shared" si="17"/>
        <v>0</v>
      </c>
      <c r="I218" s="56">
        <f t="shared" si="18"/>
        <v>0</v>
      </c>
      <c r="J218" s="57">
        <f t="shared" si="19"/>
        <v>0</v>
      </c>
    </row>
    <row r="219" spans="1:10" x14ac:dyDescent="0.25">
      <c r="A219" s="48"/>
      <c r="B219" s="44"/>
      <c r="C219" s="44"/>
      <c r="D219" s="44"/>
      <c r="E219" s="45"/>
      <c r="F219" s="42">
        <v>18</v>
      </c>
      <c r="G219" s="56">
        <f t="shared" si="16"/>
        <v>0</v>
      </c>
      <c r="H219" s="56">
        <f t="shared" si="17"/>
        <v>0</v>
      </c>
      <c r="I219" s="56">
        <f t="shared" si="18"/>
        <v>0</v>
      </c>
      <c r="J219" s="57">
        <f t="shared" si="19"/>
        <v>0</v>
      </c>
    </row>
    <row r="220" spans="1:10" x14ac:dyDescent="0.25">
      <c r="A220" s="48"/>
      <c r="B220" s="44"/>
      <c r="C220" s="44"/>
      <c r="D220" s="44"/>
      <c r="E220" s="45"/>
      <c r="F220" s="42">
        <v>18</v>
      </c>
      <c r="G220" s="56">
        <f t="shared" si="16"/>
        <v>0</v>
      </c>
      <c r="H220" s="56">
        <f t="shared" si="17"/>
        <v>0</v>
      </c>
      <c r="I220" s="56">
        <f t="shared" si="18"/>
        <v>0</v>
      </c>
      <c r="J220" s="57">
        <f t="shared" si="19"/>
        <v>0</v>
      </c>
    </row>
    <row r="221" spans="1:10" x14ac:dyDescent="0.25">
      <c r="A221" s="48"/>
      <c r="B221" s="44"/>
      <c r="C221" s="44"/>
      <c r="D221" s="44"/>
      <c r="E221" s="45"/>
      <c r="F221" s="42">
        <v>18</v>
      </c>
      <c r="G221" s="56">
        <f t="shared" si="16"/>
        <v>0</v>
      </c>
      <c r="H221" s="56">
        <f t="shared" si="17"/>
        <v>0</v>
      </c>
      <c r="I221" s="56">
        <f t="shared" si="18"/>
        <v>0</v>
      </c>
      <c r="J221" s="57">
        <f t="shared" si="19"/>
        <v>0</v>
      </c>
    </row>
    <row r="222" spans="1:10" x14ac:dyDescent="0.25">
      <c r="A222" s="48"/>
      <c r="B222" s="44"/>
      <c r="C222" s="44"/>
      <c r="D222" s="44"/>
      <c r="E222" s="45"/>
      <c r="F222" s="42">
        <v>18</v>
      </c>
      <c r="G222" s="56">
        <f t="shared" si="16"/>
        <v>0</v>
      </c>
      <c r="H222" s="56">
        <f t="shared" si="17"/>
        <v>0</v>
      </c>
      <c r="I222" s="56">
        <f t="shared" si="18"/>
        <v>0</v>
      </c>
      <c r="J222" s="57">
        <f t="shared" si="19"/>
        <v>0</v>
      </c>
    </row>
    <row r="223" spans="1:10" x14ac:dyDescent="0.25">
      <c r="A223" s="48"/>
      <c r="B223" s="44"/>
      <c r="C223" s="44"/>
      <c r="D223" s="44"/>
      <c r="E223" s="45"/>
      <c r="F223" s="42">
        <v>18</v>
      </c>
      <c r="G223" s="56">
        <f t="shared" si="16"/>
        <v>0</v>
      </c>
      <c r="H223" s="56">
        <f t="shared" si="17"/>
        <v>0</v>
      </c>
      <c r="I223" s="56">
        <f t="shared" si="18"/>
        <v>0</v>
      </c>
      <c r="J223" s="57">
        <f t="shared" si="19"/>
        <v>0</v>
      </c>
    </row>
    <row r="224" spans="1:10" x14ac:dyDescent="0.25">
      <c r="A224" s="48"/>
      <c r="B224" s="44"/>
      <c r="C224" s="44"/>
      <c r="D224" s="44"/>
      <c r="E224" s="45"/>
      <c r="F224" s="42">
        <v>18</v>
      </c>
      <c r="G224" s="56">
        <f t="shared" si="16"/>
        <v>0</v>
      </c>
      <c r="H224" s="56">
        <f t="shared" si="17"/>
        <v>0</v>
      </c>
      <c r="I224" s="56">
        <f t="shared" si="18"/>
        <v>0</v>
      </c>
      <c r="J224" s="57">
        <f t="shared" si="19"/>
        <v>0</v>
      </c>
    </row>
    <row r="225" spans="1:10" x14ac:dyDescent="0.25">
      <c r="A225" s="48"/>
      <c r="B225" s="44"/>
      <c r="C225" s="44"/>
      <c r="D225" s="44"/>
      <c r="E225" s="45"/>
      <c r="F225" s="42">
        <v>18</v>
      </c>
      <c r="G225" s="56">
        <f t="shared" si="16"/>
        <v>0</v>
      </c>
      <c r="H225" s="56">
        <f t="shared" si="17"/>
        <v>0</v>
      </c>
      <c r="I225" s="56">
        <f t="shared" si="18"/>
        <v>0</v>
      </c>
      <c r="J225" s="57">
        <f t="shared" si="19"/>
        <v>0</v>
      </c>
    </row>
    <row r="226" spans="1:10" x14ac:dyDescent="0.25">
      <c r="A226" s="48"/>
      <c r="B226" s="44"/>
      <c r="C226" s="44"/>
      <c r="D226" s="44"/>
      <c r="E226" s="45"/>
      <c r="F226" s="42">
        <v>18</v>
      </c>
      <c r="G226" s="56">
        <f t="shared" si="16"/>
        <v>0</v>
      </c>
      <c r="H226" s="56">
        <f t="shared" si="17"/>
        <v>0</v>
      </c>
      <c r="I226" s="56">
        <f t="shared" si="18"/>
        <v>0</v>
      </c>
      <c r="J226" s="57">
        <f t="shared" si="19"/>
        <v>0</v>
      </c>
    </row>
    <row r="227" spans="1:10" x14ac:dyDescent="0.25">
      <c r="A227" s="48"/>
      <c r="B227" s="44"/>
      <c r="C227" s="44"/>
      <c r="D227" s="44"/>
      <c r="E227" s="45"/>
      <c r="F227" s="42">
        <v>18</v>
      </c>
      <c r="G227" s="56">
        <f t="shared" si="16"/>
        <v>0</v>
      </c>
      <c r="H227" s="56">
        <f t="shared" si="17"/>
        <v>0</v>
      </c>
      <c r="I227" s="56">
        <f t="shared" si="18"/>
        <v>0</v>
      </c>
      <c r="J227" s="57">
        <f t="shared" si="19"/>
        <v>0</v>
      </c>
    </row>
    <row r="228" spans="1:10" x14ac:dyDescent="0.25">
      <c r="A228" s="48"/>
      <c r="B228" s="44"/>
      <c r="C228" s="44"/>
      <c r="D228" s="44"/>
      <c r="E228" s="45"/>
      <c r="F228" s="42">
        <v>18</v>
      </c>
      <c r="G228" s="56">
        <f t="shared" si="16"/>
        <v>0</v>
      </c>
      <c r="H228" s="56">
        <f t="shared" si="17"/>
        <v>0</v>
      </c>
      <c r="I228" s="56">
        <f t="shared" si="18"/>
        <v>0</v>
      </c>
      <c r="J228" s="57">
        <f t="shared" si="19"/>
        <v>0</v>
      </c>
    </row>
    <row r="229" spans="1:10" x14ac:dyDescent="0.25">
      <c r="A229" s="48"/>
      <c r="B229" s="44"/>
      <c r="C229" s="44"/>
      <c r="D229" s="44"/>
      <c r="E229" s="45"/>
      <c r="F229" s="42">
        <v>18</v>
      </c>
      <c r="G229" s="56">
        <f t="shared" si="16"/>
        <v>0</v>
      </c>
      <c r="H229" s="56">
        <f t="shared" si="17"/>
        <v>0</v>
      </c>
      <c r="I229" s="56">
        <f t="shared" si="18"/>
        <v>0</v>
      </c>
      <c r="J229" s="57">
        <f t="shared" si="19"/>
        <v>0</v>
      </c>
    </row>
    <row r="230" spans="1:10" x14ac:dyDescent="0.25">
      <c r="A230" s="48"/>
      <c r="B230" s="44"/>
      <c r="C230" s="44"/>
      <c r="D230" s="44"/>
      <c r="E230" s="45"/>
      <c r="F230" s="42">
        <v>18</v>
      </c>
      <c r="G230" s="56">
        <f t="shared" si="16"/>
        <v>0</v>
      </c>
      <c r="H230" s="56">
        <f t="shared" si="17"/>
        <v>0</v>
      </c>
      <c r="I230" s="56">
        <f t="shared" si="18"/>
        <v>0</v>
      </c>
      <c r="J230" s="57">
        <f t="shared" si="19"/>
        <v>0</v>
      </c>
    </row>
    <row r="231" spans="1:10" x14ac:dyDescent="0.25">
      <c r="A231" s="48"/>
      <c r="B231" s="44"/>
      <c r="C231" s="44"/>
      <c r="D231" s="44"/>
      <c r="E231" s="45"/>
      <c r="F231" s="42">
        <v>18</v>
      </c>
      <c r="G231" s="56">
        <f t="shared" si="16"/>
        <v>0</v>
      </c>
      <c r="H231" s="56">
        <f t="shared" si="17"/>
        <v>0</v>
      </c>
      <c r="I231" s="56">
        <f t="shared" si="18"/>
        <v>0</v>
      </c>
      <c r="J231" s="57">
        <f t="shared" si="19"/>
        <v>0</v>
      </c>
    </row>
    <row r="232" spans="1:10" x14ac:dyDescent="0.25">
      <c r="A232" s="48"/>
      <c r="B232" s="44"/>
      <c r="C232" s="44"/>
      <c r="D232" s="44"/>
      <c r="E232" s="45"/>
      <c r="F232" s="42">
        <v>18</v>
      </c>
      <c r="G232" s="56">
        <f t="shared" si="16"/>
        <v>0</v>
      </c>
      <c r="H232" s="56">
        <f t="shared" si="17"/>
        <v>0</v>
      </c>
      <c r="I232" s="56">
        <f t="shared" si="18"/>
        <v>0</v>
      </c>
      <c r="J232" s="57">
        <f t="shared" si="19"/>
        <v>0</v>
      </c>
    </row>
    <row r="233" spans="1:10" x14ac:dyDescent="0.25">
      <c r="A233" s="48"/>
      <c r="B233" s="44"/>
      <c r="C233" s="44"/>
      <c r="D233" s="44"/>
      <c r="E233" s="45"/>
      <c r="F233" s="42">
        <v>18</v>
      </c>
      <c r="G233" s="56">
        <f t="shared" si="16"/>
        <v>0</v>
      </c>
      <c r="H233" s="56">
        <f t="shared" si="17"/>
        <v>0</v>
      </c>
      <c r="I233" s="56">
        <f t="shared" si="18"/>
        <v>0</v>
      </c>
      <c r="J233" s="57">
        <f t="shared" si="19"/>
        <v>0</v>
      </c>
    </row>
    <row r="234" spans="1:10" x14ac:dyDescent="0.25">
      <c r="A234" s="48"/>
      <c r="B234" s="44"/>
      <c r="C234" s="44"/>
      <c r="D234" s="44"/>
      <c r="E234" s="45"/>
      <c r="F234" s="42">
        <v>18</v>
      </c>
      <c r="G234" s="56">
        <f t="shared" si="16"/>
        <v>0</v>
      </c>
      <c r="H234" s="56">
        <f t="shared" si="17"/>
        <v>0</v>
      </c>
      <c r="I234" s="56">
        <f t="shared" si="18"/>
        <v>0</v>
      </c>
      <c r="J234" s="57">
        <f t="shared" si="19"/>
        <v>0</v>
      </c>
    </row>
    <row r="235" spans="1:10" x14ac:dyDescent="0.25">
      <c r="A235" s="48"/>
      <c r="B235" s="44"/>
      <c r="C235" s="44"/>
      <c r="D235" s="44"/>
      <c r="E235" s="45"/>
      <c r="F235" s="42">
        <v>18</v>
      </c>
      <c r="G235" s="56">
        <f t="shared" si="16"/>
        <v>0</v>
      </c>
      <c r="H235" s="56">
        <f t="shared" si="17"/>
        <v>0</v>
      </c>
      <c r="I235" s="56">
        <f t="shared" si="18"/>
        <v>0</v>
      </c>
      <c r="J235" s="57">
        <f t="shared" si="19"/>
        <v>0</v>
      </c>
    </row>
    <row r="236" spans="1:10" x14ac:dyDescent="0.25">
      <c r="A236" s="48"/>
      <c r="B236" s="44"/>
      <c r="C236" s="44"/>
      <c r="D236" s="44"/>
      <c r="E236" s="45"/>
      <c r="F236" s="42">
        <v>18</v>
      </c>
      <c r="G236" s="56">
        <f t="shared" si="16"/>
        <v>0</v>
      </c>
      <c r="H236" s="56">
        <f t="shared" si="17"/>
        <v>0</v>
      </c>
      <c r="I236" s="56">
        <f t="shared" si="18"/>
        <v>0</v>
      </c>
      <c r="J236" s="57">
        <f t="shared" si="19"/>
        <v>0</v>
      </c>
    </row>
    <row r="237" spans="1:10" x14ac:dyDescent="0.25">
      <c r="A237" s="48"/>
      <c r="B237" s="44"/>
      <c r="C237" s="44"/>
      <c r="D237" s="44"/>
      <c r="E237" s="45"/>
      <c r="F237" s="42">
        <v>18</v>
      </c>
      <c r="G237" s="56">
        <f t="shared" si="16"/>
        <v>0</v>
      </c>
      <c r="H237" s="56">
        <f t="shared" si="17"/>
        <v>0</v>
      </c>
      <c r="I237" s="56">
        <f t="shared" si="18"/>
        <v>0</v>
      </c>
      <c r="J237" s="57">
        <f t="shared" si="19"/>
        <v>0</v>
      </c>
    </row>
    <row r="238" spans="1:10" x14ac:dyDescent="0.25">
      <c r="A238" s="48"/>
      <c r="B238" s="44"/>
      <c r="C238" s="44"/>
      <c r="D238" s="44"/>
      <c r="E238" s="45"/>
      <c r="F238" s="42">
        <v>18</v>
      </c>
      <c r="G238" s="56">
        <f t="shared" si="16"/>
        <v>0</v>
      </c>
      <c r="H238" s="56">
        <f t="shared" si="17"/>
        <v>0</v>
      </c>
      <c r="I238" s="56">
        <f t="shared" si="18"/>
        <v>0</v>
      </c>
      <c r="J238" s="57">
        <f t="shared" si="19"/>
        <v>0</v>
      </c>
    </row>
    <row r="239" spans="1:10" x14ac:dyDescent="0.25">
      <c r="A239" s="48"/>
      <c r="B239" s="44"/>
      <c r="C239" s="44"/>
      <c r="D239" s="44"/>
      <c r="E239" s="45"/>
      <c r="F239" s="42">
        <v>18</v>
      </c>
      <c r="G239" s="56">
        <f t="shared" si="16"/>
        <v>0</v>
      </c>
      <c r="H239" s="56">
        <f t="shared" si="17"/>
        <v>0</v>
      </c>
      <c r="I239" s="56">
        <f t="shared" si="18"/>
        <v>0</v>
      </c>
      <c r="J239" s="57">
        <f t="shared" si="19"/>
        <v>0</v>
      </c>
    </row>
    <row r="240" spans="1:10" x14ac:dyDescent="0.25">
      <c r="A240" s="48"/>
      <c r="B240" s="44"/>
      <c r="C240" s="44"/>
      <c r="D240" s="44"/>
      <c r="E240" s="45"/>
      <c r="F240" s="42">
        <v>18</v>
      </c>
      <c r="G240" s="56">
        <f t="shared" si="16"/>
        <v>0</v>
      </c>
      <c r="H240" s="56">
        <f t="shared" si="17"/>
        <v>0</v>
      </c>
      <c r="I240" s="56">
        <f t="shared" si="18"/>
        <v>0</v>
      </c>
      <c r="J240" s="57">
        <f t="shared" si="19"/>
        <v>0</v>
      </c>
    </row>
    <row r="241" spans="1:10" x14ac:dyDescent="0.25">
      <c r="A241" s="48"/>
      <c r="B241" s="44"/>
      <c r="C241" s="44"/>
      <c r="D241" s="44"/>
      <c r="E241" s="45"/>
      <c r="F241" s="42">
        <v>18</v>
      </c>
      <c r="G241" s="56">
        <f t="shared" si="16"/>
        <v>0</v>
      </c>
      <c r="H241" s="56">
        <f t="shared" si="17"/>
        <v>0</v>
      </c>
      <c r="I241" s="56">
        <f t="shared" si="18"/>
        <v>0</v>
      </c>
      <c r="J241" s="57">
        <f t="shared" si="19"/>
        <v>0</v>
      </c>
    </row>
    <row r="242" spans="1:10" x14ac:dyDescent="0.25">
      <c r="A242" s="48"/>
      <c r="B242" s="44"/>
      <c r="C242" s="44"/>
      <c r="D242" s="44"/>
      <c r="E242" s="45"/>
      <c r="F242" s="42">
        <v>18</v>
      </c>
      <c r="G242" s="56">
        <f t="shared" si="16"/>
        <v>0</v>
      </c>
      <c r="H242" s="56">
        <f t="shared" si="17"/>
        <v>0</v>
      </c>
      <c r="I242" s="56">
        <f t="shared" si="18"/>
        <v>0</v>
      </c>
      <c r="J242" s="57">
        <f t="shared" si="19"/>
        <v>0</v>
      </c>
    </row>
    <row r="243" spans="1:10" x14ac:dyDescent="0.25">
      <c r="A243" s="48"/>
      <c r="B243" s="44"/>
      <c r="C243" s="44"/>
      <c r="D243" s="44"/>
      <c r="E243" s="45"/>
      <c r="F243" s="42">
        <v>18</v>
      </c>
      <c r="G243" s="56">
        <f t="shared" si="16"/>
        <v>0</v>
      </c>
      <c r="H243" s="56">
        <f t="shared" si="17"/>
        <v>0</v>
      </c>
      <c r="I243" s="56">
        <f t="shared" si="18"/>
        <v>0</v>
      </c>
      <c r="J243" s="57">
        <f t="shared" si="19"/>
        <v>0</v>
      </c>
    </row>
    <row r="244" spans="1:10" x14ac:dyDescent="0.25">
      <c r="A244" s="48"/>
      <c r="B244" s="44"/>
      <c r="C244" s="44"/>
      <c r="D244" s="44"/>
      <c r="E244" s="45"/>
      <c r="F244" s="42">
        <v>18</v>
      </c>
      <c r="G244" s="56">
        <f t="shared" si="16"/>
        <v>0</v>
      </c>
      <c r="H244" s="56">
        <f t="shared" si="17"/>
        <v>0</v>
      </c>
      <c r="I244" s="56">
        <f t="shared" si="18"/>
        <v>0</v>
      </c>
      <c r="J244" s="57">
        <f t="shared" si="19"/>
        <v>0</v>
      </c>
    </row>
    <row r="245" spans="1:10" x14ac:dyDescent="0.25">
      <c r="A245" s="48"/>
      <c r="B245" s="44"/>
      <c r="C245" s="44"/>
      <c r="D245" s="44"/>
      <c r="E245" s="45"/>
      <c r="F245" s="42">
        <v>18</v>
      </c>
      <c r="G245" s="56">
        <f t="shared" si="16"/>
        <v>0</v>
      </c>
      <c r="H245" s="56">
        <f t="shared" si="17"/>
        <v>0</v>
      </c>
      <c r="I245" s="56">
        <f t="shared" si="18"/>
        <v>0</v>
      </c>
      <c r="J245" s="57">
        <f t="shared" si="19"/>
        <v>0</v>
      </c>
    </row>
    <row r="246" spans="1:10" x14ac:dyDescent="0.25">
      <c r="A246" s="48"/>
      <c r="B246" s="44"/>
      <c r="C246" s="44"/>
      <c r="D246" s="44"/>
      <c r="E246" s="45"/>
      <c r="F246" s="42">
        <v>18</v>
      </c>
      <c r="G246" s="56">
        <f t="shared" si="16"/>
        <v>0</v>
      </c>
      <c r="H246" s="56">
        <f t="shared" si="17"/>
        <v>0</v>
      </c>
      <c r="I246" s="56">
        <f t="shared" si="18"/>
        <v>0</v>
      </c>
      <c r="J246" s="57">
        <f t="shared" si="19"/>
        <v>0</v>
      </c>
    </row>
    <row r="247" spans="1:10" x14ac:dyDescent="0.25">
      <c r="A247" s="48"/>
      <c r="B247" s="44"/>
      <c r="C247" s="44"/>
      <c r="D247" s="44"/>
      <c r="E247" s="45"/>
      <c r="F247" s="42">
        <v>18</v>
      </c>
      <c r="G247" s="56">
        <f t="shared" si="16"/>
        <v>0</v>
      </c>
      <c r="H247" s="56">
        <f t="shared" si="17"/>
        <v>0</v>
      </c>
      <c r="I247" s="56">
        <f t="shared" si="18"/>
        <v>0</v>
      </c>
      <c r="J247" s="57">
        <f t="shared" si="19"/>
        <v>0</v>
      </c>
    </row>
    <row r="248" spans="1:10" x14ac:dyDescent="0.25">
      <c r="A248" s="48"/>
      <c r="B248" s="44"/>
      <c r="C248" s="44"/>
      <c r="D248" s="44"/>
      <c r="E248" s="45"/>
      <c r="F248" s="42">
        <v>18</v>
      </c>
      <c r="G248" s="56">
        <f t="shared" si="16"/>
        <v>0</v>
      </c>
      <c r="H248" s="56">
        <f t="shared" si="17"/>
        <v>0</v>
      </c>
      <c r="I248" s="56">
        <f t="shared" si="18"/>
        <v>0</v>
      </c>
      <c r="J248" s="57">
        <f t="shared" si="19"/>
        <v>0</v>
      </c>
    </row>
    <row r="249" spans="1:10" x14ac:dyDescent="0.25">
      <c r="A249" s="48"/>
      <c r="B249" s="44"/>
      <c r="C249" s="44"/>
      <c r="D249" s="44"/>
      <c r="E249" s="45"/>
      <c r="F249" s="42">
        <v>18</v>
      </c>
      <c r="G249" s="56">
        <f t="shared" si="16"/>
        <v>0</v>
      </c>
      <c r="H249" s="56">
        <f t="shared" si="17"/>
        <v>0</v>
      </c>
      <c r="I249" s="56">
        <f t="shared" si="18"/>
        <v>0</v>
      </c>
      <c r="J249" s="57">
        <f t="shared" si="19"/>
        <v>0</v>
      </c>
    </row>
    <row r="250" spans="1:10" x14ac:dyDescent="0.25">
      <c r="A250" s="48"/>
      <c r="B250" s="44"/>
      <c r="C250" s="44"/>
      <c r="D250" s="44"/>
      <c r="E250" s="45"/>
      <c r="F250" s="42">
        <v>18</v>
      </c>
      <c r="G250" s="56">
        <f t="shared" si="16"/>
        <v>0</v>
      </c>
      <c r="H250" s="56">
        <f t="shared" si="17"/>
        <v>0</v>
      </c>
      <c r="I250" s="56">
        <f t="shared" si="18"/>
        <v>0</v>
      </c>
      <c r="J250" s="57">
        <f t="shared" si="19"/>
        <v>0</v>
      </c>
    </row>
    <row r="251" spans="1:10" x14ac:dyDescent="0.25">
      <c r="A251" s="48"/>
      <c r="B251" s="44"/>
      <c r="C251" s="44"/>
      <c r="D251" s="44"/>
      <c r="E251" s="45"/>
      <c r="F251" s="42">
        <v>18</v>
      </c>
      <c r="G251" s="56">
        <f t="shared" si="16"/>
        <v>0</v>
      </c>
      <c r="H251" s="56">
        <f t="shared" si="17"/>
        <v>0</v>
      </c>
      <c r="I251" s="56">
        <f t="shared" si="18"/>
        <v>0</v>
      </c>
      <c r="J251" s="57">
        <f t="shared" si="19"/>
        <v>0</v>
      </c>
    </row>
    <row r="252" spans="1:10" x14ac:dyDescent="0.25">
      <c r="A252" s="48"/>
      <c r="B252" s="44"/>
      <c r="C252" s="44"/>
      <c r="D252" s="44"/>
      <c r="E252" s="45"/>
      <c r="F252" s="42">
        <v>18</v>
      </c>
      <c r="G252" s="56">
        <f t="shared" si="16"/>
        <v>0</v>
      </c>
      <c r="H252" s="56">
        <f t="shared" si="17"/>
        <v>0</v>
      </c>
      <c r="I252" s="56">
        <f t="shared" si="18"/>
        <v>0</v>
      </c>
      <c r="J252" s="57">
        <f t="shared" si="19"/>
        <v>0</v>
      </c>
    </row>
    <row r="253" spans="1:10" x14ac:dyDescent="0.25">
      <c r="A253" s="48"/>
      <c r="B253" s="44"/>
      <c r="C253" s="44"/>
      <c r="D253" s="44"/>
      <c r="E253" s="45"/>
      <c r="F253" s="42">
        <v>18</v>
      </c>
      <c r="G253" s="56">
        <f t="shared" si="16"/>
        <v>0</v>
      </c>
      <c r="H253" s="56">
        <f t="shared" si="17"/>
        <v>0</v>
      </c>
      <c r="I253" s="56">
        <f t="shared" si="18"/>
        <v>0</v>
      </c>
      <c r="J253" s="57">
        <f t="shared" si="19"/>
        <v>0</v>
      </c>
    </row>
    <row r="254" spans="1:10" x14ac:dyDescent="0.25">
      <c r="A254" s="48"/>
      <c r="B254" s="44"/>
      <c r="C254" s="44"/>
      <c r="D254" s="44"/>
      <c r="E254" s="45"/>
      <c r="F254" s="42">
        <v>18</v>
      </c>
      <c r="G254" s="56">
        <f t="shared" si="16"/>
        <v>0</v>
      </c>
      <c r="H254" s="56">
        <f t="shared" si="17"/>
        <v>0</v>
      </c>
      <c r="I254" s="56">
        <f t="shared" si="18"/>
        <v>0</v>
      </c>
      <c r="J254" s="57">
        <f t="shared" si="19"/>
        <v>0</v>
      </c>
    </row>
    <row r="255" spans="1:10" x14ac:dyDescent="0.25">
      <c r="A255" s="48"/>
      <c r="B255" s="44"/>
      <c r="C255" s="44"/>
      <c r="D255" s="44"/>
      <c r="E255" s="45"/>
      <c r="F255" s="42">
        <v>18</v>
      </c>
      <c r="G255" s="56">
        <f t="shared" si="16"/>
        <v>0</v>
      </c>
      <c r="H255" s="56">
        <f t="shared" si="17"/>
        <v>0</v>
      </c>
      <c r="I255" s="56">
        <f t="shared" si="18"/>
        <v>0</v>
      </c>
      <c r="J255" s="57">
        <f t="shared" si="19"/>
        <v>0</v>
      </c>
    </row>
    <row r="256" spans="1:10" x14ac:dyDescent="0.25">
      <c r="A256" s="48"/>
      <c r="B256" s="44"/>
      <c r="C256" s="44"/>
      <c r="D256" s="44"/>
      <c r="E256" s="45"/>
      <c r="F256" s="42">
        <v>18</v>
      </c>
      <c r="G256" s="56">
        <f t="shared" si="16"/>
        <v>0</v>
      </c>
      <c r="H256" s="56">
        <f t="shared" si="17"/>
        <v>0</v>
      </c>
      <c r="I256" s="56">
        <f t="shared" si="18"/>
        <v>0</v>
      </c>
      <c r="J256" s="57">
        <f t="shared" si="19"/>
        <v>0</v>
      </c>
    </row>
    <row r="257" spans="1:10" x14ac:dyDescent="0.25">
      <c r="A257" s="48"/>
      <c r="B257" s="44"/>
      <c r="C257" s="44"/>
      <c r="D257" s="44"/>
      <c r="E257" s="45"/>
      <c r="F257" s="42">
        <v>18</v>
      </c>
      <c r="G257" s="56">
        <f t="shared" si="16"/>
        <v>0</v>
      </c>
      <c r="H257" s="56">
        <f t="shared" si="17"/>
        <v>0</v>
      </c>
      <c r="I257" s="56">
        <f t="shared" si="18"/>
        <v>0</v>
      </c>
      <c r="J257" s="57">
        <f t="shared" si="19"/>
        <v>0</v>
      </c>
    </row>
    <row r="258" spans="1:10" x14ac:dyDescent="0.25">
      <c r="A258" s="48"/>
      <c r="B258" s="44"/>
      <c r="C258" s="44"/>
      <c r="D258" s="44"/>
      <c r="E258" s="45"/>
      <c r="F258" s="42">
        <v>18</v>
      </c>
      <c r="G258" s="56">
        <f t="shared" si="16"/>
        <v>0</v>
      </c>
      <c r="H258" s="56">
        <f t="shared" si="17"/>
        <v>0</v>
      </c>
      <c r="I258" s="56">
        <f t="shared" si="18"/>
        <v>0</v>
      </c>
      <c r="J258" s="57">
        <f t="shared" si="19"/>
        <v>0</v>
      </c>
    </row>
    <row r="259" spans="1:10" x14ac:dyDescent="0.25">
      <c r="A259" s="48"/>
      <c r="B259" s="44"/>
      <c r="C259" s="44"/>
      <c r="D259" s="44"/>
      <c r="E259" s="45"/>
      <c r="F259" s="42">
        <v>18</v>
      </c>
      <c r="G259" s="56">
        <f t="shared" si="16"/>
        <v>0</v>
      </c>
      <c r="H259" s="56">
        <f t="shared" si="17"/>
        <v>0</v>
      </c>
      <c r="I259" s="56">
        <f t="shared" si="18"/>
        <v>0</v>
      </c>
      <c r="J259" s="57">
        <f t="shared" si="19"/>
        <v>0</v>
      </c>
    </row>
    <row r="260" spans="1:10" x14ac:dyDescent="0.25">
      <c r="A260" s="48"/>
      <c r="B260" s="44"/>
      <c r="C260" s="44"/>
      <c r="D260" s="44"/>
      <c r="E260" s="45"/>
      <c r="F260" s="42">
        <v>18</v>
      </c>
      <c r="G260" s="56">
        <f t="shared" si="16"/>
        <v>0</v>
      </c>
      <c r="H260" s="56">
        <f t="shared" si="17"/>
        <v>0</v>
      </c>
      <c r="I260" s="56">
        <f t="shared" si="18"/>
        <v>0</v>
      </c>
      <c r="J260" s="57">
        <f t="shared" si="19"/>
        <v>0</v>
      </c>
    </row>
    <row r="261" spans="1:10" x14ac:dyDescent="0.25">
      <c r="A261" s="48"/>
      <c r="B261" s="44"/>
      <c r="C261" s="44"/>
      <c r="D261" s="44"/>
      <c r="E261" s="45"/>
      <c r="F261" s="42">
        <v>18</v>
      </c>
      <c r="G261" s="56">
        <f t="shared" si="16"/>
        <v>0</v>
      </c>
      <c r="H261" s="56">
        <f t="shared" si="17"/>
        <v>0</v>
      </c>
      <c r="I261" s="56">
        <f t="shared" si="18"/>
        <v>0</v>
      </c>
      <c r="J261" s="57">
        <f t="shared" si="19"/>
        <v>0</v>
      </c>
    </row>
    <row r="262" spans="1:10" x14ac:dyDescent="0.25">
      <c r="A262" s="48"/>
      <c r="B262" s="44"/>
      <c r="C262" s="44"/>
      <c r="D262" s="44"/>
      <c r="E262" s="45"/>
      <c r="F262" s="42">
        <v>18</v>
      </c>
      <c r="G262" s="56">
        <f t="shared" ref="G262:G312" si="20">ROUND((E262*F262%)/2,)</f>
        <v>0</v>
      </c>
      <c r="H262" s="56">
        <f t="shared" ref="H262:H312" si="21">G262</f>
        <v>0</v>
      </c>
      <c r="I262" s="56">
        <f t="shared" ref="I262:I312" si="22">G262+H262</f>
        <v>0</v>
      </c>
      <c r="J262" s="57">
        <f t="shared" ref="J262:J312" si="23">E262+I262</f>
        <v>0</v>
      </c>
    </row>
    <row r="263" spans="1:10" x14ac:dyDescent="0.25">
      <c r="A263" s="48"/>
      <c r="B263" s="44"/>
      <c r="C263" s="44"/>
      <c r="D263" s="44"/>
      <c r="E263" s="45"/>
      <c r="F263" s="42">
        <v>18</v>
      </c>
      <c r="G263" s="56">
        <f t="shared" si="20"/>
        <v>0</v>
      </c>
      <c r="H263" s="56">
        <f t="shared" si="21"/>
        <v>0</v>
      </c>
      <c r="I263" s="56">
        <f t="shared" si="22"/>
        <v>0</v>
      </c>
      <c r="J263" s="57">
        <f t="shared" si="23"/>
        <v>0</v>
      </c>
    </row>
    <row r="264" spans="1:10" x14ac:dyDescent="0.25">
      <c r="A264" s="48"/>
      <c r="B264" s="44"/>
      <c r="C264" s="44"/>
      <c r="D264" s="44"/>
      <c r="E264" s="45"/>
      <c r="F264" s="42">
        <v>18</v>
      </c>
      <c r="G264" s="56">
        <f t="shared" si="20"/>
        <v>0</v>
      </c>
      <c r="H264" s="56">
        <f t="shared" si="21"/>
        <v>0</v>
      </c>
      <c r="I264" s="56">
        <f t="shared" si="22"/>
        <v>0</v>
      </c>
      <c r="J264" s="57">
        <f t="shared" si="23"/>
        <v>0</v>
      </c>
    </row>
    <row r="265" spans="1:10" x14ac:dyDescent="0.25">
      <c r="A265" s="48"/>
      <c r="B265" s="44"/>
      <c r="C265" s="44"/>
      <c r="D265" s="44"/>
      <c r="E265" s="45"/>
      <c r="F265" s="42">
        <v>18</v>
      </c>
      <c r="G265" s="56">
        <f t="shared" si="20"/>
        <v>0</v>
      </c>
      <c r="H265" s="56">
        <f t="shared" si="21"/>
        <v>0</v>
      </c>
      <c r="I265" s="56">
        <f t="shared" si="22"/>
        <v>0</v>
      </c>
      <c r="J265" s="57">
        <f t="shared" si="23"/>
        <v>0</v>
      </c>
    </row>
    <row r="266" spans="1:10" x14ac:dyDescent="0.25">
      <c r="A266" s="48"/>
      <c r="B266" s="44"/>
      <c r="C266" s="44"/>
      <c r="D266" s="44"/>
      <c r="E266" s="45"/>
      <c r="F266" s="42">
        <v>18</v>
      </c>
      <c r="G266" s="56">
        <f t="shared" si="20"/>
        <v>0</v>
      </c>
      <c r="H266" s="56">
        <f t="shared" si="21"/>
        <v>0</v>
      </c>
      <c r="I266" s="56">
        <f t="shared" si="22"/>
        <v>0</v>
      </c>
      <c r="J266" s="57">
        <f t="shared" si="23"/>
        <v>0</v>
      </c>
    </row>
    <row r="267" spans="1:10" x14ac:dyDescent="0.25">
      <c r="A267" s="48"/>
      <c r="B267" s="44"/>
      <c r="C267" s="44"/>
      <c r="D267" s="44"/>
      <c r="E267" s="45"/>
      <c r="F267" s="42">
        <v>18</v>
      </c>
      <c r="G267" s="56">
        <f t="shared" si="20"/>
        <v>0</v>
      </c>
      <c r="H267" s="56">
        <f t="shared" si="21"/>
        <v>0</v>
      </c>
      <c r="I267" s="56">
        <f t="shared" si="22"/>
        <v>0</v>
      </c>
      <c r="J267" s="57">
        <f t="shared" si="23"/>
        <v>0</v>
      </c>
    </row>
    <row r="268" spans="1:10" x14ac:dyDescent="0.25">
      <c r="A268" s="48"/>
      <c r="B268" s="44"/>
      <c r="C268" s="44"/>
      <c r="D268" s="44"/>
      <c r="E268" s="45"/>
      <c r="F268" s="42">
        <v>18</v>
      </c>
      <c r="G268" s="56">
        <f t="shared" si="20"/>
        <v>0</v>
      </c>
      <c r="H268" s="56">
        <f t="shared" si="21"/>
        <v>0</v>
      </c>
      <c r="I268" s="56">
        <f t="shared" si="22"/>
        <v>0</v>
      </c>
      <c r="J268" s="57">
        <f t="shared" si="23"/>
        <v>0</v>
      </c>
    </row>
    <row r="269" spans="1:10" x14ac:dyDescent="0.25">
      <c r="A269" s="48"/>
      <c r="B269" s="44"/>
      <c r="C269" s="44"/>
      <c r="D269" s="44"/>
      <c r="E269" s="45"/>
      <c r="F269" s="42">
        <v>18</v>
      </c>
      <c r="G269" s="56">
        <f t="shared" si="20"/>
        <v>0</v>
      </c>
      <c r="H269" s="56">
        <f t="shared" si="21"/>
        <v>0</v>
      </c>
      <c r="I269" s="56">
        <f t="shared" si="22"/>
        <v>0</v>
      </c>
      <c r="J269" s="57">
        <f t="shared" si="23"/>
        <v>0</v>
      </c>
    </row>
    <row r="270" spans="1:10" x14ac:dyDescent="0.25">
      <c r="A270" s="48"/>
      <c r="B270" s="44"/>
      <c r="C270" s="44"/>
      <c r="D270" s="44"/>
      <c r="E270" s="45"/>
      <c r="F270" s="42">
        <v>18</v>
      </c>
      <c r="G270" s="56">
        <f t="shared" si="20"/>
        <v>0</v>
      </c>
      <c r="H270" s="56">
        <f t="shared" si="21"/>
        <v>0</v>
      </c>
      <c r="I270" s="56">
        <f t="shared" si="22"/>
        <v>0</v>
      </c>
      <c r="J270" s="57">
        <f t="shared" si="23"/>
        <v>0</v>
      </c>
    </row>
    <row r="271" spans="1:10" x14ac:dyDescent="0.25">
      <c r="A271" s="48"/>
      <c r="B271" s="44"/>
      <c r="C271" s="44"/>
      <c r="D271" s="44"/>
      <c r="E271" s="45"/>
      <c r="F271" s="42">
        <v>18</v>
      </c>
      <c r="G271" s="56">
        <f t="shared" si="20"/>
        <v>0</v>
      </c>
      <c r="H271" s="56">
        <f t="shared" si="21"/>
        <v>0</v>
      </c>
      <c r="I271" s="56">
        <f t="shared" si="22"/>
        <v>0</v>
      </c>
      <c r="J271" s="57">
        <f t="shared" si="23"/>
        <v>0</v>
      </c>
    </row>
    <row r="272" spans="1:10" x14ac:dyDescent="0.25">
      <c r="A272" s="48"/>
      <c r="B272" s="44"/>
      <c r="C272" s="44"/>
      <c r="D272" s="44"/>
      <c r="E272" s="45"/>
      <c r="F272" s="42">
        <v>18</v>
      </c>
      <c r="G272" s="56">
        <f t="shared" si="20"/>
        <v>0</v>
      </c>
      <c r="H272" s="56">
        <f t="shared" si="21"/>
        <v>0</v>
      </c>
      <c r="I272" s="56">
        <f t="shared" si="22"/>
        <v>0</v>
      </c>
      <c r="J272" s="57">
        <f t="shared" si="23"/>
        <v>0</v>
      </c>
    </row>
    <row r="273" spans="1:10" x14ac:dyDescent="0.25">
      <c r="A273" s="48"/>
      <c r="B273" s="44"/>
      <c r="C273" s="44"/>
      <c r="D273" s="44"/>
      <c r="E273" s="45"/>
      <c r="F273" s="42">
        <v>18</v>
      </c>
      <c r="G273" s="56">
        <f t="shared" si="20"/>
        <v>0</v>
      </c>
      <c r="H273" s="56">
        <f t="shared" si="21"/>
        <v>0</v>
      </c>
      <c r="I273" s="56">
        <f t="shared" si="22"/>
        <v>0</v>
      </c>
      <c r="J273" s="57">
        <f t="shared" si="23"/>
        <v>0</v>
      </c>
    </row>
    <row r="274" spans="1:10" x14ac:dyDescent="0.25">
      <c r="A274" s="48"/>
      <c r="B274" s="44"/>
      <c r="C274" s="44"/>
      <c r="D274" s="44"/>
      <c r="E274" s="45"/>
      <c r="F274" s="42">
        <v>18</v>
      </c>
      <c r="G274" s="56">
        <f t="shared" si="20"/>
        <v>0</v>
      </c>
      <c r="H274" s="56">
        <f t="shared" si="21"/>
        <v>0</v>
      </c>
      <c r="I274" s="56">
        <f t="shared" si="22"/>
        <v>0</v>
      </c>
      <c r="J274" s="57">
        <f t="shared" si="23"/>
        <v>0</v>
      </c>
    </row>
    <row r="275" spans="1:10" x14ac:dyDescent="0.25">
      <c r="A275" s="48"/>
      <c r="B275" s="44"/>
      <c r="C275" s="44"/>
      <c r="D275" s="44"/>
      <c r="E275" s="45"/>
      <c r="F275" s="42">
        <v>18</v>
      </c>
      <c r="G275" s="56">
        <f t="shared" si="20"/>
        <v>0</v>
      </c>
      <c r="H275" s="56">
        <f t="shared" si="21"/>
        <v>0</v>
      </c>
      <c r="I275" s="56">
        <f t="shared" si="22"/>
        <v>0</v>
      </c>
      <c r="J275" s="57">
        <f t="shared" si="23"/>
        <v>0</v>
      </c>
    </row>
    <row r="276" spans="1:10" x14ac:dyDescent="0.25">
      <c r="A276" s="48"/>
      <c r="B276" s="44"/>
      <c r="C276" s="44"/>
      <c r="D276" s="44"/>
      <c r="E276" s="45"/>
      <c r="F276" s="42">
        <v>18</v>
      </c>
      <c r="G276" s="56">
        <f t="shared" si="20"/>
        <v>0</v>
      </c>
      <c r="H276" s="56">
        <f t="shared" si="21"/>
        <v>0</v>
      </c>
      <c r="I276" s="56">
        <f t="shared" si="22"/>
        <v>0</v>
      </c>
      <c r="J276" s="57">
        <f t="shared" si="23"/>
        <v>0</v>
      </c>
    </row>
    <row r="277" spans="1:10" x14ac:dyDescent="0.25">
      <c r="A277" s="48"/>
      <c r="B277" s="44"/>
      <c r="C277" s="44"/>
      <c r="D277" s="44"/>
      <c r="E277" s="45"/>
      <c r="F277" s="42">
        <v>18</v>
      </c>
      <c r="G277" s="56">
        <f t="shared" si="20"/>
        <v>0</v>
      </c>
      <c r="H277" s="56">
        <f t="shared" si="21"/>
        <v>0</v>
      </c>
      <c r="I277" s="56">
        <f t="shared" si="22"/>
        <v>0</v>
      </c>
      <c r="J277" s="57">
        <f t="shared" si="23"/>
        <v>0</v>
      </c>
    </row>
    <row r="278" spans="1:10" x14ac:dyDescent="0.25">
      <c r="A278" s="48"/>
      <c r="B278" s="44"/>
      <c r="C278" s="44"/>
      <c r="D278" s="44"/>
      <c r="E278" s="45"/>
      <c r="F278" s="42">
        <v>18</v>
      </c>
      <c r="G278" s="56">
        <f t="shared" si="20"/>
        <v>0</v>
      </c>
      <c r="H278" s="56">
        <f t="shared" si="21"/>
        <v>0</v>
      </c>
      <c r="I278" s="56">
        <f t="shared" si="22"/>
        <v>0</v>
      </c>
      <c r="J278" s="57">
        <f t="shared" si="23"/>
        <v>0</v>
      </c>
    </row>
    <row r="279" spans="1:10" x14ac:dyDescent="0.25">
      <c r="A279" s="48"/>
      <c r="B279" s="44"/>
      <c r="C279" s="44"/>
      <c r="D279" s="44"/>
      <c r="E279" s="45"/>
      <c r="F279" s="42">
        <v>18</v>
      </c>
      <c r="G279" s="56">
        <f t="shared" si="20"/>
        <v>0</v>
      </c>
      <c r="H279" s="56">
        <f t="shared" si="21"/>
        <v>0</v>
      </c>
      <c r="I279" s="56">
        <f t="shared" si="22"/>
        <v>0</v>
      </c>
      <c r="J279" s="57">
        <f t="shared" si="23"/>
        <v>0</v>
      </c>
    </row>
    <row r="280" spans="1:10" x14ac:dyDescent="0.25">
      <c r="A280" s="48"/>
      <c r="B280" s="44"/>
      <c r="C280" s="44"/>
      <c r="D280" s="44"/>
      <c r="E280" s="45"/>
      <c r="F280" s="42">
        <v>18</v>
      </c>
      <c r="G280" s="56">
        <f t="shared" si="20"/>
        <v>0</v>
      </c>
      <c r="H280" s="56">
        <f t="shared" si="21"/>
        <v>0</v>
      </c>
      <c r="I280" s="56">
        <f t="shared" si="22"/>
        <v>0</v>
      </c>
      <c r="J280" s="57">
        <f t="shared" si="23"/>
        <v>0</v>
      </c>
    </row>
    <row r="281" spans="1:10" x14ac:dyDescent="0.25">
      <c r="A281" s="48"/>
      <c r="B281" s="44"/>
      <c r="C281" s="44"/>
      <c r="D281" s="44"/>
      <c r="E281" s="45"/>
      <c r="F281" s="42">
        <v>18</v>
      </c>
      <c r="G281" s="56">
        <f t="shared" si="20"/>
        <v>0</v>
      </c>
      <c r="H281" s="56">
        <f t="shared" si="21"/>
        <v>0</v>
      </c>
      <c r="I281" s="56">
        <f t="shared" si="22"/>
        <v>0</v>
      </c>
      <c r="J281" s="57">
        <f t="shared" si="23"/>
        <v>0</v>
      </c>
    </row>
    <row r="282" spans="1:10" x14ac:dyDescent="0.25">
      <c r="A282" s="48"/>
      <c r="B282" s="44"/>
      <c r="C282" s="44"/>
      <c r="D282" s="44"/>
      <c r="E282" s="45"/>
      <c r="F282" s="42">
        <v>18</v>
      </c>
      <c r="G282" s="56">
        <f t="shared" si="20"/>
        <v>0</v>
      </c>
      <c r="H282" s="56">
        <f t="shared" si="21"/>
        <v>0</v>
      </c>
      <c r="I282" s="56">
        <f t="shared" si="22"/>
        <v>0</v>
      </c>
      <c r="J282" s="57">
        <f t="shared" si="23"/>
        <v>0</v>
      </c>
    </row>
    <row r="283" spans="1:10" x14ac:dyDescent="0.25">
      <c r="A283" s="48"/>
      <c r="B283" s="44"/>
      <c r="C283" s="44"/>
      <c r="D283" s="44"/>
      <c r="E283" s="45"/>
      <c r="F283" s="42">
        <v>18</v>
      </c>
      <c r="G283" s="56">
        <f t="shared" si="20"/>
        <v>0</v>
      </c>
      <c r="H283" s="56">
        <f t="shared" si="21"/>
        <v>0</v>
      </c>
      <c r="I283" s="56">
        <f t="shared" si="22"/>
        <v>0</v>
      </c>
      <c r="J283" s="57">
        <f t="shared" si="23"/>
        <v>0</v>
      </c>
    </row>
    <row r="284" spans="1:10" x14ac:dyDescent="0.25">
      <c r="A284" s="48"/>
      <c r="B284" s="44"/>
      <c r="C284" s="44"/>
      <c r="D284" s="44"/>
      <c r="E284" s="45"/>
      <c r="F284" s="42">
        <v>18</v>
      </c>
      <c r="G284" s="56">
        <f t="shared" si="20"/>
        <v>0</v>
      </c>
      <c r="H284" s="56">
        <f t="shared" si="21"/>
        <v>0</v>
      </c>
      <c r="I284" s="56">
        <f t="shared" si="22"/>
        <v>0</v>
      </c>
      <c r="J284" s="57">
        <f t="shared" si="23"/>
        <v>0</v>
      </c>
    </row>
    <row r="285" spans="1:10" x14ac:dyDescent="0.25">
      <c r="A285" s="48"/>
      <c r="B285" s="44"/>
      <c r="C285" s="44"/>
      <c r="D285" s="44"/>
      <c r="E285" s="45"/>
      <c r="F285" s="42">
        <v>18</v>
      </c>
      <c r="G285" s="56">
        <f t="shared" si="20"/>
        <v>0</v>
      </c>
      <c r="H285" s="56">
        <f t="shared" si="21"/>
        <v>0</v>
      </c>
      <c r="I285" s="56">
        <f t="shared" si="22"/>
        <v>0</v>
      </c>
      <c r="J285" s="57">
        <f t="shared" si="23"/>
        <v>0</v>
      </c>
    </row>
    <row r="286" spans="1:10" x14ac:dyDescent="0.25">
      <c r="A286" s="48"/>
      <c r="B286" s="44"/>
      <c r="C286" s="44"/>
      <c r="D286" s="44"/>
      <c r="E286" s="45"/>
      <c r="F286" s="42">
        <v>18</v>
      </c>
      <c r="G286" s="56">
        <f t="shared" si="20"/>
        <v>0</v>
      </c>
      <c r="H286" s="56">
        <f t="shared" si="21"/>
        <v>0</v>
      </c>
      <c r="I286" s="56">
        <f t="shared" si="22"/>
        <v>0</v>
      </c>
      <c r="J286" s="57">
        <f t="shared" si="23"/>
        <v>0</v>
      </c>
    </row>
    <row r="287" spans="1:10" x14ac:dyDescent="0.25">
      <c r="A287" s="48"/>
      <c r="B287" s="44"/>
      <c r="C287" s="44"/>
      <c r="D287" s="44"/>
      <c r="E287" s="45"/>
      <c r="F287" s="42">
        <v>18</v>
      </c>
      <c r="G287" s="56">
        <f t="shared" si="20"/>
        <v>0</v>
      </c>
      <c r="H287" s="56">
        <f t="shared" si="21"/>
        <v>0</v>
      </c>
      <c r="I287" s="56">
        <f t="shared" si="22"/>
        <v>0</v>
      </c>
      <c r="J287" s="57">
        <f t="shared" si="23"/>
        <v>0</v>
      </c>
    </row>
    <row r="288" spans="1:10" x14ac:dyDescent="0.25">
      <c r="A288" s="48"/>
      <c r="B288" s="44"/>
      <c r="C288" s="44"/>
      <c r="D288" s="44"/>
      <c r="E288" s="45"/>
      <c r="F288" s="42">
        <v>18</v>
      </c>
      <c r="G288" s="56">
        <f t="shared" si="20"/>
        <v>0</v>
      </c>
      <c r="H288" s="56">
        <f t="shared" si="21"/>
        <v>0</v>
      </c>
      <c r="I288" s="56">
        <f t="shared" si="22"/>
        <v>0</v>
      </c>
      <c r="J288" s="57">
        <f t="shared" si="23"/>
        <v>0</v>
      </c>
    </row>
    <row r="289" spans="1:10" x14ac:dyDescent="0.25">
      <c r="A289" s="48"/>
      <c r="B289" s="44"/>
      <c r="C289" s="44"/>
      <c r="D289" s="44"/>
      <c r="E289" s="45"/>
      <c r="F289" s="42">
        <v>18</v>
      </c>
      <c r="G289" s="56">
        <f t="shared" si="20"/>
        <v>0</v>
      </c>
      <c r="H289" s="56">
        <f t="shared" si="21"/>
        <v>0</v>
      </c>
      <c r="I289" s="56">
        <f t="shared" si="22"/>
        <v>0</v>
      </c>
      <c r="J289" s="57">
        <f t="shared" si="23"/>
        <v>0</v>
      </c>
    </row>
    <row r="290" spans="1:10" x14ac:dyDescent="0.25">
      <c r="A290" s="48"/>
      <c r="B290" s="44"/>
      <c r="C290" s="44"/>
      <c r="D290" s="44"/>
      <c r="E290" s="45"/>
      <c r="F290" s="42">
        <v>18</v>
      </c>
      <c r="G290" s="56">
        <f t="shared" si="20"/>
        <v>0</v>
      </c>
      <c r="H290" s="56">
        <f t="shared" si="21"/>
        <v>0</v>
      </c>
      <c r="I290" s="56">
        <f t="shared" si="22"/>
        <v>0</v>
      </c>
      <c r="J290" s="57">
        <f t="shared" si="23"/>
        <v>0</v>
      </c>
    </row>
    <row r="291" spans="1:10" x14ac:dyDescent="0.25">
      <c r="A291" s="48"/>
      <c r="B291" s="44"/>
      <c r="C291" s="44"/>
      <c r="D291" s="44"/>
      <c r="E291" s="45"/>
      <c r="F291" s="42">
        <v>18</v>
      </c>
      <c r="G291" s="56">
        <f t="shared" si="20"/>
        <v>0</v>
      </c>
      <c r="H291" s="56">
        <f t="shared" si="21"/>
        <v>0</v>
      </c>
      <c r="I291" s="56">
        <f t="shared" si="22"/>
        <v>0</v>
      </c>
      <c r="J291" s="57">
        <f t="shared" si="23"/>
        <v>0</v>
      </c>
    </row>
    <row r="292" spans="1:10" x14ac:dyDescent="0.25">
      <c r="A292" s="48"/>
      <c r="B292" s="44"/>
      <c r="C292" s="44"/>
      <c r="D292" s="44"/>
      <c r="E292" s="45"/>
      <c r="F292" s="42">
        <v>18</v>
      </c>
      <c r="G292" s="56">
        <f t="shared" si="20"/>
        <v>0</v>
      </c>
      <c r="H292" s="56">
        <f t="shared" si="21"/>
        <v>0</v>
      </c>
      <c r="I292" s="56">
        <f t="shared" si="22"/>
        <v>0</v>
      </c>
      <c r="J292" s="57">
        <f t="shared" si="23"/>
        <v>0</v>
      </c>
    </row>
    <row r="293" spans="1:10" x14ac:dyDescent="0.25">
      <c r="A293" s="48"/>
      <c r="B293" s="44"/>
      <c r="C293" s="44"/>
      <c r="D293" s="44"/>
      <c r="E293" s="45"/>
      <c r="F293" s="42">
        <v>18</v>
      </c>
      <c r="G293" s="56">
        <f t="shared" si="20"/>
        <v>0</v>
      </c>
      <c r="H293" s="56">
        <f t="shared" si="21"/>
        <v>0</v>
      </c>
      <c r="I293" s="56">
        <f t="shared" si="22"/>
        <v>0</v>
      </c>
      <c r="J293" s="57">
        <f t="shared" si="23"/>
        <v>0</v>
      </c>
    </row>
    <row r="294" spans="1:10" x14ac:dyDescent="0.25">
      <c r="A294" s="48"/>
      <c r="B294" s="44"/>
      <c r="C294" s="44"/>
      <c r="D294" s="44"/>
      <c r="E294" s="45"/>
      <c r="F294" s="42">
        <v>18</v>
      </c>
      <c r="G294" s="56">
        <f t="shared" si="20"/>
        <v>0</v>
      </c>
      <c r="H294" s="56">
        <f t="shared" si="21"/>
        <v>0</v>
      </c>
      <c r="I294" s="56">
        <f t="shared" si="22"/>
        <v>0</v>
      </c>
      <c r="J294" s="57">
        <f t="shared" si="23"/>
        <v>0</v>
      </c>
    </row>
    <row r="295" spans="1:10" x14ac:dyDescent="0.25">
      <c r="A295" s="48"/>
      <c r="B295" s="44"/>
      <c r="C295" s="44"/>
      <c r="D295" s="44"/>
      <c r="E295" s="45"/>
      <c r="F295" s="42">
        <v>18</v>
      </c>
      <c r="G295" s="56">
        <f t="shared" si="20"/>
        <v>0</v>
      </c>
      <c r="H295" s="56">
        <f t="shared" si="21"/>
        <v>0</v>
      </c>
      <c r="I295" s="56">
        <f t="shared" si="22"/>
        <v>0</v>
      </c>
      <c r="J295" s="57">
        <f t="shared" si="23"/>
        <v>0</v>
      </c>
    </row>
    <row r="296" spans="1:10" x14ac:dyDescent="0.25">
      <c r="A296" s="48"/>
      <c r="B296" s="44"/>
      <c r="C296" s="44"/>
      <c r="D296" s="44"/>
      <c r="E296" s="45"/>
      <c r="F296" s="42">
        <v>18</v>
      </c>
      <c r="G296" s="56">
        <f t="shared" si="20"/>
        <v>0</v>
      </c>
      <c r="H296" s="56">
        <f t="shared" si="21"/>
        <v>0</v>
      </c>
      <c r="I296" s="56">
        <f t="shared" si="22"/>
        <v>0</v>
      </c>
      <c r="J296" s="57">
        <f t="shared" si="23"/>
        <v>0</v>
      </c>
    </row>
    <row r="297" spans="1:10" x14ac:dyDescent="0.25">
      <c r="A297" s="48"/>
      <c r="B297" s="44"/>
      <c r="C297" s="44"/>
      <c r="D297" s="44"/>
      <c r="E297" s="45"/>
      <c r="F297" s="42">
        <v>18</v>
      </c>
      <c r="G297" s="56">
        <f t="shared" si="20"/>
        <v>0</v>
      </c>
      <c r="H297" s="56">
        <f t="shared" si="21"/>
        <v>0</v>
      </c>
      <c r="I297" s="56">
        <f t="shared" si="22"/>
        <v>0</v>
      </c>
      <c r="J297" s="57">
        <f t="shared" si="23"/>
        <v>0</v>
      </c>
    </row>
    <row r="298" spans="1:10" x14ac:dyDescent="0.25">
      <c r="A298" s="48"/>
      <c r="B298" s="44"/>
      <c r="C298" s="44"/>
      <c r="D298" s="44"/>
      <c r="E298" s="45"/>
      <c r="F298" s="42">
        <v>18</v>
      </c>
      <c r="G298" s="56">
        <f t="shared" si="20"/>
        <v>0</v>
      </c>
      <c r="H298" s="56">
        <f t="shared" si="21"/>
        <v>0</v>
      </c>
      <c r="I298" s="56">
        <f t="shared" si="22"/>
        <v>0</v>
      </c>
      <c r="J298" s="57">
        <f t="shared" si="23"/>
        <v>0</v>
      </c>
    </row>
    <row r="299" spans="1:10" x14ac:dyDescent="0.25">
      <c r="A299" s="48"/>
      <c r="B299" s="44"/>
      <c r="C299" s="44"/>
      <c r="D299" s="44"/>
      <c r="E299" s="45"/>
      <c r="F299" s="42">
        <v>18</v>
      </c>
      <c r="G299" s="56">
        <f t="shared" si="20"/>
        <v>0</v>
      </c>
      <c r="H299" s="56">
        <f t="shared" si="21"/>
        <v>0</v>
      </c>
      <c r="I299" s="56">
        <f t="shared" si="22"/>
        <v>0</v>
      </c>
      <c r="J299" s="57">
        <f t="shared" si="23"/>
        <v>0</v>
      </c>
    </row>
    <row r="300" spans="1:10" x14ac:dyDescent="0.25">
      <c r="A300" s="48"/>
      <c r="B300" s="44"/>
      <c r="C300" s="44"/>
      <c r="D300" s="44"/>
      <c r="E300" s="45"/>
      <c r="F300" s="42">
        <v>18</v>
      </c>
      <c r="G300" s="56">
        <f t="shared" si="20"/>
        <v>0</v>
      </c>
      <c r="H300" s="56">
        <f t="shared" si="21"/>
        <v>0</v>
      </c>
      <c r="I300" s="56">
        <f t="shared" si="22"/>
        <v>0</v>
      </c>
      <c r="J300" s="57">
        <f t="shared" si="23"/>
        <v>0</v>
      </c>
    </row>
    <row r="301" spans="1:10" x14ac:dyDescent="0.25">
      <c r="A301" s="48"/>
      <c r="B301" s="44"/>
      <c r="C301" s="44"/>
      <c r="D301" s="44"/>
      <c r="E301" s="45"/>
      <c r="F301" s="42">
        <v>18</v>
      </c>
      <c r="G301" s="56">
        <f t="shared" si="20"/>
        <v>0</v>
      </c>
      <c r="H301" s="56">
        <f t="shared" si="21"/>
        <v>0</v>
      </c>
      <c r="I301" s="56">
        <f t="shared" si="22"/>
        <v>0</v>
      </c>
      <c r="J301" s="57">
        <f t="shared" si="23"/>
        <v>0</v>
      </c>
    </row>
    <row r="302" spans="1:10" x14ac:dyDescent="0.25">
      <c r="A302" s="48"/>
      <c r="B302" s="44"/>
      <c r="C302" s="44"/>
      <c r="D302" s="44"/>
      <c r="E302" s="45"/>
      <c r="F302" s="42">
        <v>18</v>
      </c>
      <c r="G302" s="56">
        <f t="shared" si="20"/>
        <v>0</v>
      </c>
      <c r="H302" s="56">
        <f t="shared" si="21"/>
        <v>0</v>
      </c>
      <c r="I302" s="56">
        <f t="shared" si="22"/>
        <v>0</v>
      </c>
      <c r="J302" s="57">
        <f t="shared" si="23"/>
        <v>0</v>
      </c>
    </row>
    <row r="303" spans="1:10" x14ac:dyDescent="0.25">
      <c r="A303" s="48"/>
      <c r="B303" s="44"/>
      <c r="C303" s="44"/>
      <c r="D303" s="44"/>
      <c r="E303" s="45"/>
      <c r="F303" s="42">
        <v>18</v>
      </c>
      <c r="G303" s="56">
        <f t="shared" si="20"/>
        <v>0</v>
      </c>
      <c r="H303" s="56">
        <f t="shared" si="21"/>
        <v>0</v>
      </c>
      <c r="I303" s="56">
        <f t="shared" si="22"/>
        <v>0</v>
      </c>
      <c r="J303" s="57">
        <f t="shared" si="23"/>
        <v>0</v>
      </c>
    </row>
    <row r="304" spans="1:10" x14ac:dyDescent="0.25">
      <c r="A304" s="48"/>
      <c r="B304" s="44"/>
      <c r="C304" s="44"/>
      <c r="D304" s="44"/>
      <c r="E304" s="45"/>
      <c r="F304" s="42">
        <v>18</v>
      </c>
      <c r="G304" s="56">
        <f t="shared" si="20"/>
        <v>0</v>
      </c>
      <c r="H304" s="56">
        <f t="shared" si="21"/>
        <v>0</v>
      </c>
      <c r="I304" s="56">
        <f t="shared" si="22"/>
        <v>0</v>
      </c>
      <c r="J304" s="57">
        <f t="shared" si="23"/>
        <v>0</v>
      </c>
    </row>
    <row r="305" spans="1:10" x14ac:dyDescent="0.25">
      <c r="A305" s="48"/>
      <c r="B305" s="44"/>
      <c r="C305" s="44"/>
      <c r="D305" s="44"/>
      <c r="E305" s="45"/>
      <c r="F305" s="42">
        <v>18</v>
      </c>
      <c r="G305" s="56">
        <f t="shared" si="20"/>
        <v>0</v>
      </c>
      <c r="H305" s="56">
        <f t="shared" si="21"/>
        <v>0</v>
      </c>
      <c r="I305" s="56">
        <f t="shared" si="22"/>
        <v>0</v>
      </c>
      <c r="J305" s="57">
        <f t="shared" si="23"/>
        <v>0</v>
      </c>
    </row>
    <row r="306" spans="1:10" x14ac:dyDescent="0.25">
      <c r="A306" s="48"/>
      <c r="B306" s="44"/>
      <c r="C306" s="44"/>
      <c r="D306" s="44"/>
      <c r="E306" s="45"/>
      <c r="F306" s="42">
        <v>18</v>
      </c>
      <c r="G306" s="56">
        <f t="shared" si="20"/>
        <v>0</v>
      </c>
      <c r="H306" s="56">
        <f t="shared" si="21"/>
        <v>0</v>
      </c>
      <c r="I306" s="56">
        <f t="shared" si="22"/>
        <v>0</v>
      </c>
      <c r="J306" s="57">
        <f t="shared" si="23"/>
        <v>0</v>
      </c>
    </row>
    <row r="307" spans="1:10" x14ac:dyDescent="0.25">
      <c r="A307" s="48"/>
      <c r="B307" s="44"/>
      <c r="C307" s="44"/>
      <c r="D307" s="44"/>
      <c r="E307" s="45"/>
      <c r="F307" s="42">
        <v>18</v>
      </c>
      <c r="G307" s="56">
        <f t="shared" si="20"/>
        <v>0</v>
      </c>
      <c r="H307" s="56">
        <f t="shared" si="21"/>
        <v>0</v>
      </c>
      <c r="I307" s="56">
        <f t="shared" si="22"/>
        <v>0</v>
      </c>
      <c r="J307" s="57">
        <f t="shared" si="23"/>
        <v>0</v>
      </c>
    </row>
    <row r="308" spans="1:10" x14ac:dyDescent="0.25">
      <c r="A308" s="48"/>
      <c r="B308" s="44"/>
      <c r="C308" s="44"/>
      <c r="D308" s="44"/>
      <c r="E308" s="45"/>
      <c r="F308" s="42">
        <v>18</v>
      </c>
      <c r="G308" s="56">
        <f t="shared" si="20"/>
        <v>0</v>
      </c>
      <c r="H308" s="56">
        <f t="shared" si="21"/>
        <v>0</v>
      </c>
      <c r="I308" s="56">
        <f t="shared" si="22"/>
        <v>0</v>
      </c>
      <c r="J308" s="57">
        <f t="shared" si="23"/>
        <v>0</v>
      </c>
    </row>
    <row r="309" spans="1:10" x14ac:dyDescent="0.25">
      <c r="A309" s="48"/>
      <c r="B309" s="44"/>
      <c r="C309" s="44"/>
      <c r="D309" s="44"/>
      <c r="E309" s="45"/>
      <c r="F309" s="42">
        <v>18</v>
      </c>
      <c r="G309" s="56">
        <f t="shared" si="20"/>
        <v>0</v>
      </c>
      <c r="H309" s="56">
        <f t="shared" si="21"/>
        <v>0</v>
      </c>
      <c r="I309" s="56">
        <f t="shared" si="22"/>
        <v>0</v>
      </c>
      <c r="J309" s="57">
        <f t="shared" si="23"/>
        <v>0</v>
      </c>
    </row>
    <row r="310" spans="1:10" x14ac:dyDescent="0.25">
      <c r="A310" s="48"/>
      <c r="B310" s="44"/>
      <c r="C310" s="44"/>
      <c r="D310" s="44"/>
      <c r="E310" s="45"/>
      <c r="F310" s="42">
        <v>18</v>
      </c>
      <c r="G310" s="56">
        <f t="shared" si="20"/>
        <v>0</v>
      </c>
      <c r="H310" s="56">
        <f t="shared" si="21"/>
        <v>0</v>
      </c>
      <c r="I310" s="56">
        <f t="shared" si="22"/>
        <v>0</v>
      </c>
      <c r="J310" s="57">
        <f t="shared" si="23"/>
        <v>0</v>
      </c>
    </row>
    <row r="311" spans="1:10" x14ac:dyDescent="0.25">
      <c r="A311" s="48"/>
      <c r="B311" s="44"/>
      <c r="C311" s="44"/>
      <c r="D311" s="44"/>
      <c r="E311" s="45"/>
      <c r="F311" s="42">
        <v>18</v>
      </c>
      <c r="G311" s="56">
        <f t="shared" si="20"/>
        <v>0</v>
      </c>
      <c r="H311" s="56">
        <f t="shared" si="21"/>
        <v>0</v>
      </c>
      <c r="I311" s="56">
        <f t="shared" si="22"/>
        <v>0</v>
      </c>
      <c r="J311" s="57">
        <f t="shared" si="23"/>
        <v>0</v>
      </c>
    </row>
    <row r="312" spans="1:10" x14ac:dyDescent="0.25">
      <c r="A312" s="48"/>
      <c r="B312" s="44"/>
      <c r="C312" s="44"/>
      <c r="D312" s="44"/>
      <c r="E312" s="45"/>
      <c r="F312" s="42">
        <v>18</v>
      </c>
      <c r="G312" s="56">
        <f t="shared" si="20"/>
        <v>0</v>
      </c>
      <c r="H312" s="56">
        <f t="shared" si="21"/>
        <v>0</v>
      </c>
      <c r="I312" s="56">
        <f t="shared" si="22"/>
        <v>0</v>
      </c>
      <c r="J312" s="57">
        <f t="shared" si="23"/>
        <v>0</v>
      </c>
    </row>
  </sheetData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312">
      <formula1>500</formula1>
    </dataValidation>
    <dataValidation type="custom" allowBlank="1" showInputMessage="1" showErrorMessage="1" error="Please enter Numeric value having length less than or equal to 16 including decimal points. Do not enter Special characters." sqref="F2:F312">
      <formula1>AG2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312">
      <formula1>AF2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2:D312">
      <formula1>AD2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workbookViewId="0">
      <selection activeCell="B26" sqref="B26"/>
    </sheetView>
  </sheetViews>
  <sheetFormatPr defaultRowHeight="15" x14ac:dyDescent="0.25"/>
  <cols>
    <col min="1" max="1" width="17.5703125" customWidth="1"/>
    <col min="2" max="2" width="40.28515625" customWidth="1"/>
    <col min="3" max="3" width="7.7109375" customWidth="1"/>
    <col min="4" max="4" width="10.42578125" customWidth="1"/>
    <col min="5" max="5" width="11.140625" customWidth="1"/>
    <col min="7" max="7" width="10.7109375" customWidth="1"/>
    <col min="8" max="8" width="11" customWidth="1"/>
    <col min="9" max="10" width="11.14062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114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48"/>
      <c r="B3" s="44"/>
      <c r="C3" s="44"/>
      <c r="D3" s="44"/>
      <c r="E3" s="45"/>
      <c r="F3" s="42">
        <v>28</v>
      </c>
      <c r="G3" s="56">
        <f t="shared" ref="G3:G5" si="0">ROUND((E3*F3%)/2,)</f>
        <v>0</v>
      </c>
      <c r="H3" s="56">
        <f t="shared" ref="H3:H5" si="1">G3</f>
        <v>0</v>
      </c>
      <c r="I3" s="56">
        <f t="shared" ref="I3:I5" si="2">G3+H3</f>
        <v>0</v>
      </c>
      <c r="J3" s="57">
        <f t="shared" ref="J3:J5" si="3">E3+I3</f>
        <v>0</v>
      </c>
    </row>
    <row r="4" spans="1:10" x14ac:dyDescent="0.25">
      <c r="A4" s="59"/>
      <c r="B4" s="46"/>
      <c r="C4" s="44"/>
      <c r="D4" s="44"/>
      <c r="E4" s="45"/>
      <c r="F4" s="42">
        <v>18</v>
      </c>
      <c r="G4" s="56">
        <f t="shared" si="0"/>
        <v>0</v>
      </c>
      <c r="H4" s="56">
        <f t="shared" si="1"/>
        <v>0</v>
      </c>
      <c r="I4" s="56">
        <f t="shared" si="2"/>
        <v>0</v>
      </c>
      <c r="J4" s="57">
        <f t="shared" si="3"/>
        <v>0</v>
      </c>
    </row>
    <row r="5" spans="1:10" x14ac:dyDescent="0.25">
      <c r="A5" s="59" t="s">
        <v>127</v>
      </c>
      <c r="B5" s="46" t="s">
        <v>128</v>
      </c>
      <c r="C5" s="44" t="s">
        <v>288</v>
      </c>
      <c r="D5" s="44" t="s">
        <v>289</v>
      </c>
      <c r="E5" s="45">
        <v>800</v>
      </c>
      <c r="F5" s="42">
        <v>18</v>
      </c>
      <c r="G5" s="56">
        <f t="shared" si="0"/>
        <v>72</v>
      </c>
      <c r="H5" s="56">
        <f t="shared" si="1"/>
        <v>72</v>
      </c>
      <c r="I5" s="56">
        <f t="shared" si="2"/>
        <v>144</v>
      </c>
      <c r="J5" s="57">
        <f t="shared" si="3"/>
        <v>944</v>
      </c>
    </row>
    <row r="6" spans="1:10" x14ac:dyDescent="0.25">
      <c r="A6" s="59" t="s">
        <v>127</v>
      </c>
      <c r="B6" s="46" t="s">
        <v>128</v>
      </c>
      <c r="C6" s="44" t="s">
        <v>290</v>
      </c>
      <c r="D6" s="44" t="s">
        <v>289</v>
      </c>
      <c r="E6" s="45">
        <v>1750</v>
      </c>
      <c r="F6" s="42">
        <v>18</v>
      </c>
      <c r="G6" s="56">
        <f t="shared" ref="G6:G69" si="4">ROUND((E6*F6%)/2,)</f>
        <v>158</v>
      </c>
      <c r="H6" s="56">
        <f t="shared" ref="H6:H69" si="5">G6</f>
        <v>158</v>
      </c>
      <c r="I6" s="56">
        <f t="shared" ref="I6:I69" si="6">G6+H6</f>
        <v>316</v>
      </c>
      <c r="J6" s="57">
        <f t="shared" ref="J6:J69" si="7">E6+I6</f>
        <v>2066</v>
      </c>
    </row>
    <row r="7" spans="1:10" x14ac:dyDescent="0.25">
      <c r="A7" s="59" t="s">
        <v>127</v>
      </c>
      <c r="B7" s="46" t="s">
        <v>128</v>
      </c>
      <c r="C7" s="44" t="s">
        <v>291</v>
      </c>
      <c r="D7" s="44" t="s">
        <v>292</v>
      </c>
      <c r="E7" s="45">
        <v>2080</v>
      </c>
      <c r="F7" s="42">
        <v>18</v>
      </c>
      <c r="G7" s="56">
        <f t="shared" si="4"/>
        <v>187</v>
      </c>
      <c r="H7" s="56">
        <f t="shared" si="5"/>
        <v>187</v>
      </c>
      <c r="I7" s="56">
        <f t="shared" si="6"/>
        <v>374</v>
      </c>
      <c r="J7" s="57">
        <f t="shared" si="7"/>
        <v>2454</v>
      </c>
    </row>
    <row r="8" spans="1:10" x14ac:dyDescent="0.25">
      <c r="A8" s="59" t="s">
        <v>135</v>
      </c>
      <c r="B8" s="46" t="s">
        <v>136</v>
      </c>
      <c r="C8" s="44" t="s">
        <v>293</v>
      </c>
      <c r="D8" s="44" t="s">
        <v>292</v>
      </c>
      <c r="E8" s="45">
        <v>4212</v>
      </c>
      <c r="F8" s="42">
        <v>18</v>
      </c>
      <c r="G8" s="56">
        <f t="shared" si="4"/>
        <v>379</v>
      </c>
      <c r="H8" s="56">
        <f t="shared" si="5"/>
        <v>379</v>
      </c>
      <c r="I8" s="56">
        <f t="shared" si="6"/>
        <v>758</v>
      </c>
      <c r="J8" s="57">
        <f t="shared" si="7"/>
        <v>4970</v>
      </c>
    </row>
    <row r="9" spans="1:10" x14ac:dyDescent="0.25">
      <c r="A9" s="59" t="s">
        <v>135</v>
      </c>
      <c r="B9" s="46" t="s">
        <v>136</v>
      </c>
      <c r="C9" s="44" t="s">
        <v>294</v>
      </c>
      <c r="D9" s="44" t="s">
        <v>292</v>
      </c>
      <c r="E9" s="45">
        <v>150</v>
      </c>
      <c r="F9" s="42">
        <v>18</v>
      </c>
      <c r="G9" s="56">
        <f t="shared" si="4"/>
        <v>14</v>
      </c>
      <c r="H9" s="56">
        <f t="shared" si="5"/>
        <v>14</v>
      </c>
      <c r="I9" s="56">
        <f t="shared" si="6"/>
        <v>28</v>
      </c>
      <c r="J9" s="57">
        <f t="shared" si="7"/>
        <v>178</v>
      </c>
    </row>
    <row r="10" spans="1:10" x14ac:dyDescent="0.25">
      <c r="A10" s="59" t="s">
        <v>255</v>
      </c>
      <c r="B10" s="46" t="s">
        <v>256</v>
      </c>
      <c r="C10" s="44" t="s">
        <v>295</v>
      </c>
      <c r="D10" s="44" t="s">
        <v>296</v>
      </c>
      <c r="E10" s="45">
        <v>9600</v>
      </c>
      <c r="F10" s="42">
        <v>18</v>
      </c>
      <c r="G10" s="56">
        <f t="shared" si="4"/>
        <v>864</v>
      </c>
      <c r="H10" s="56">
        <f t="shared" si="5"/>
        <v>864</v>
      </c>
      <c r="I10" s="56">
        <f t="shared" si="6"/>
        <v>1728</v>
      </c>
      <c r="J10" s="57">
        <f t="shared" si="7"/>
        <v>11328</v>
      </c>
    </row>
    <row r="11" spans="1:10" x14ac:dyDescent="0.25">
      <c r="A11" s="59" t="s">
        <v>306</v>
      </c>
      <c r="B11" s="46" t="s">
        <v>124</v>
      </c>
      <c r="C11" s="44" t="s">
        <v>297</v>
      </c>
      <c r="D11" s="44" t="s">
        <v>298</v>
      </c>
      <c r="E11" s="45">
        <v>730</v>
      </c>
      <c r="F11" s="42">
        <v>18</v>
      </c>
      <c r="G11" s="56">
        <f t="shared" si="4"/>
        <v>66</v>
      </c>
      <c r="H11" s="56">
        <f t="shared" si="5"/>
        <v>66</v>
      </c>
      <c r="I11" s="56">
        <f t="shared" si="6"/>
        <v>132</v>
      </c>
      <c r="J11" s="57">
        <f t="shared" si="7"/>
        <v>862</v>
      </c>
    </row>
    <row r="12" spans="1:10" x14ac:dyDescent="0.25">
      <c r="A12" s="59" t="s">
        <v>127</v>
      </c>
      <c r="B12" s="46" t="s">
        <v>128</v>
      </c>
      <c r="C12" s="44" t="s">
        <v>299</v>
      </c>
      <c r="D12" s="44" t="s">
        <v>298</v>
      </c>
      <c r="E12" s="45">
        <v>1000</v>
      </c>
      <c r="F12" s="42">
        <v>18</v>
      </c>
      <c r="G12" s="56">
        <f t="shared" si="4"/>
        <v>90</v>
      </c>
      <c r="H12" s="56">
        <f t="shared" si="5"/>
        <v>90</v>
      </c>
      <c r="I12" s="56">
        <f t="shared" si="6"/>
        <v>180</v>
      </c>
      <c r="J12" s="57">
        <f t="shared" si="7"/>
        <v>1180</v>
      </c>
    </row>
    <row r="13" spans="1:10" x14ac:dyDescent="0.25">
      <c r="A13" s="59" t="s">
        <v>135</v>
      </c>
      <c r="B13" s="46" t="s">
        <v>136</v>
      </c>
      <c r="C13" s="44" t="s">
        <v>300</v>
      </c>
      <c r="D13" s="44" t="s">
        <v>298</v>
      </c>
      <c r="E13" s="45">
        <v>1824</v>
      </c>
      <c r="F13" s="42">
        <v>18</v>
      </c>
      <c r="G13" s="56">
        <f t="shared" si="4"/>
        <v>164</v>
      </c>
      <c r="H13" s="56">
        <f t="shared" si="5"/>
        <v>164</v>
      </c>
      <c r="I13" s="56">
        <f t="shared" si="6"/>
        <v>328</v>
      </c>
      <c r="J13" s="57">
        <f t="shared" si="7"/>
        <v>2152</v>
      </c>
    </row>
    <row r="14" spans="1:10" x14ac:dyDescent="0.25">
      <c r="A14" s="59" t="s">
        <v>135</v>
      </c>
      <c r="B14" s="46" t="s">
        <v>136</v>
      </c>
      <c r="C14" s="44" t="s">
        <v>301</v>
      </c>
      <c r="D14" s="44" t="s">
        <v>298</v>
      </c>
      <c r="E14" s="45">
        <v>1140</v>
      </c>
      <c r="F14" s="42">
        <v>18</v>
      </c>
      <c r="G14" s="56">
        <f t="shared" si="4"/>
        <v>103</v>
      </c>
      <c r="H14" s="56">
        <f t="shared" si="5"/>
        <v>103</v>
      </c>
      <c r="I14" s="56">
        <f t="shared" si="6"/>
        <v>206</v>
      </c>
      <c r="J14" s="57">
        <f t="shared" si="7"/>
        <v>1346</v>
      </c>
    </row>
    <row r="15" spans="1:10" x14ac:dyDescent="0.25">
      <c r="A15" s="59" t="s">
        <v>306</v>
      </c>
      <c r="B15" s="46" t="s">
        <v>124</v>
      </c>
      <c r="C15" s="44" t="s">
        <v>302</v>
      </c>
      <c r="D15" s="44" t="s">
        <v>303</v>
      </c>
      <c r="E15" s="45">
        <v>575</v>
      </c>
      <c r="F15" s="42">
        <v>18</v>
      </c>
      <c r="G15" s="56">
        <f t="shared" si="4"/>
        <v>52</v>
      </c>
      <c r="H15" s="56">
        <f t="shared" si="5"/>
        <v>52</v>
      </c>
      <c r="I15" s="56">
        <f t="shared" si="6"/>
        <v>104</v>
      </c>
      <c r="J15" s="57">
        <f t="shared" si="7"/>
        <v>679</v>
      </c>
    </row>
    <row r="16" spans="1:10" x14ac:dyDescent="0.25">
      <c r="A16" s="59" t="s">
        <v>135</v>
      </c>
      <c r="B16" s="46" t="s">
        <v>136</v>
      </c>
      <c r="C16" s="44" t="s">
        <v>304</v>
      </c>
      <c r="D16" s="44" t="s">
        <v>305</v>
      </c>
      <c r="E16" s="45">
        <v>3876</v>
      </c>
      <c r="F16" s="42">
        <v>18</v>
      </c>
      <c r="G16" s="56">
        <f t="shared" si="4"/>
        <v>349</v>
      </c>
      <c r="H16" s="56">
        <f t="shared" si="5"/>
        <v>349</v>
      </c>
      <c r="I16" s="56">
        <f t="shared" si="6"/>
        <v>698</v>
      </c>
      <c r="J16" s="57">
        <f t="shared" si="7"/>
        <v>4574</v>
      </c>
    </row>
    <row r="17" spans="1:10" x14ac:dyDescent="0.25">
      <c r="A17" s="59" t="s">
        <v>306</v>
      </c>
      <c r="B17" s="46" t="s">
        <v>124</v>
      </c>
      <c r="C17" s="44" t="s">
        <v>307</v>
      </c>
      <c r="D17" s="44" t="s">
        <v>305</v>
      </c>
      <c r="E17" s="45">
        <v>775</v>
      </c>
      <c r="F17" s="42">
        <v>18</v>
      </c>
      <c r="G17" s="56">
        <f t="shared" si="4"/>
        <v>70</v>
      </c>
      <c r="H17" s="56">
        <f t="shared" si="5"/>
        <v>70</v>
      </c>
      <c r="I17" s="56">
        <f t="shared" si="6"/>
        <v>140</v>
      </c>
      <c r="J17" s="57">
        <f t="shared" si="7"/>
        <v>915</v>
      </c>
    </row>
    <row r="18" spans="1:10" x14ac:dyDescent="0.25">
      <c r="A18" s="59" t="s">
        <v>306</v>
      </c>
      <c r="B18" s="46" t="s">
        <v>124</v>
      </c>
      <c r="C18" s="44" t="s">
        <v>308</v>
      </c>
      <c r="D18" s="44" t="s">
        <v>309</v>
      </c>
      <c r="E18" s="45">
        <v>1925</v>
      </c>
      <c r="F18" s="42">
        <v>18</v>
      </c>
      <c r="G18" s="56">
        <f t="shared" si="4"/>
        <v>173</v>
      </c>
      <c r="H18" s="56">
        <f t="shared" si="5"/>
        <v>173</v>
      </c>
      <c r="I18" s="56">
        <f t="shared" si="6"/>
        <v>346</v>
      </c>
      <c r="J18" s="57">
        <f t="shared" si="7"/>
        <v>2271</v>
      </c>
    </row>
    <row r="19" spans="1:10" x14ac:dyDescent="0.25">
      <c r="A19" s="59" t="s">
        <v>306</v>
      </c>
      <c r="B19" s="46" t="s">
        <v>124</v>
      </c>
      <c r="C19" s="44" t="s">
        <v>310</v>
      </c>
      <c r="D19" s="44" t="s">
        <v>311</v>
      </c>
      <c r="E19" s="45">
        <v>2425</v>
      </c>
      <c r="F19" s="42">
        <v>18</v>
      </c>
      <c r="G19" s="56">
        <f t="shared" si="4"/>
        <v>218</v>
      </c>
      <c r="H19" s="56">
        <f t="shared" si="5"/>
        <v>218</v>
      </c>
      <c r="I19" s="56">
        <f t="shared" si="6"/>
        <v>436</v>
      </c>
      <c r="J19" s="57">
        <f t="shared" si="7"/>
        <v>2861</v>
      </c>
    </row>
    <row r="20" spans="1:10" x14ac:dyDescent="0.25">
      <c r="A20" s="59" t="s">
        <v>306</v>
      </c>
      <c r="B20" s="46" t="s">
        <v>124</v>
      </c>
      <c r="C20" s="44" t="s">
        <v>312</v>
      </c>
      <c r="D20" s="44" t="s">
        <v>311</v>
      </c>
      <c r="E20" s="45">
        <v>1250</v>
      </c>
      <c r="F20" s="42">
        <v>18</v>
      </c>
      <c r="G20" s="56">
        <f t="shared" si="4"/>
        <v>113</v>
      </c>
      <c r="H20" s="56">
        <f t="shared" si="5"/>
        <v>113</v>
      </c>
      <c r="I20" s="56">
        <f t="shared" si="6"/>
        <v>226</v>
      </c>
      <c r="J20" s="57">
        <f t="shared" si="7"/>
        <v>1476</v>
      </c>
    </row>
    <row r="21" spans="1:10" x14ac:dyDescent="0.25">
      <c r="A21" s="59" t="s">
        <v>135</v>
      </c>
      <c r="B21" s="46" t="s">
        <v>136</v>
      </c>
      <c r="C21" s="44" t="s">
        <v>313</v>
      </c>
      <c r="D21" s="44" t="s">
        <v>314</v>
      </c>
      <c r="E21" s="45">
        <v>3432</v>
      </c>
      <c r="F21" s="42">
        <v>18</v>
      </c>
      <c r="G21" s="56">
        <f t="shared" si="4"/>
        <v>309</v>
      </c>
      <c r="H21" s="56">
        <f t="shared" si="5"/>
        <v>309</v>
      </c>
      <c r="I21" s="56">
        <f t="shared" si="6"/>
        <v>618</v>
      </c>
      <c r="J21" s="57">
        <f t="shared" si="7"/>
        <v>4050</v>
      </c>
    </row>
    <row r="22" spans="1:10" x14ac:dyDescent="0.25">
      <c r="A22" s="59" t="s">
        <v>127</v>
      </c>
      <c r="B22" s="46" t="s">
        <v>128</v>
      </c>
      <c r="C22" s="44" t="s">
        <v>315</v>
      </c>
      <c r="D22" s="44" t="s">
        <v>316</v>
      </c>
      <c r="E22" s="45">
        <v>400</v>
      </c>
      <c r="F22" s="42">
        <v>18</v>
      </c>
      <c r="G22" s="56">
        <f t="shared" si="4"/>
        <v>36</v>
      </c>
      <c r="H22" s="56">
        <f t="shared" si="5"/>
        <v>36</v>
      </c>
      <c r="I22" s="56">
        <f t="shared" si="6"/>
        <v>72</v>
      </c>
      <c r="J22" s="57">
        <f t="shared" si="7"/>
        <v>472</v>
      </c>
    </row>
    <row r="23" spans="1:10" x14ac:dyDescent="0.25">
      <c r="A23" s="59" t="s">
        <v>306</v>
      </c>
      <c r="B23" s="46" t="s">
        <v>124</v>
      </c>
      <c r="C23" s="44" t="s">
        <v>317</v>
      </c>
      <c r="D23" s="44" t="s">
        <v>316</v>
      </c>
      <c r="E23" s="45">
        <v>1200</v>
      </c>
      <c r="F23" s="42">
        <v>18</v>
      </c>
      <c r="G23" s="56">
        <f t="shared" si="4"/>
        <v>108</v>
      </c>
      <c r="H23" s="56">
        <f t="shared" si="5"/>
        <v>108</v>
      </c>
      <c r="I23" s="56">
        <f t="shared" si="6"/>
        <v>216</v>
      </c>
      <c r="J23" s="57">
        <f t="shared" si="7"/>
        <v>1416</v>
      </c>
    </row>
    <row r="24" spans="1:10" x14ac:dyDescent="0.25">
      <c r="A24" s="59" t="s">
        <v>306</v>
      </c>
      <c r="B24" s="46" t="s">
        <v>124</v>
      </c>
      <c r="C24" s="44" t="s">
        <v>318</v>
      </c>
      <c r="D24" s="44" t="s">
        <v>319</v>
      </c>
      <c r="E24" s="45">
        <v>3650</v>
      </c>
      <c r="F24" s="42">
        <v>18</v>
      </c>
      <c r="G24" s="56">
        <f t="shared" si="4"/>
        <v>329</v>
      </c>
      <c r="H24" s="56">
        <f t="shared" si="5"/>
        <v>329</v>
      </c>
      <c r="I24" s="56">
        <f t="shared" si="6"/>
        <v>658</v>
      </c>
      <c r="J24" s="57">
        <f t="shared" si="7"/>
        <v>4308</v>
      </c>
    </row>
    <row r="25" spans="1:10" x14ac:dyDescent="0.25">
      <c r="A25" s="59" t="s">
        <v>306</v>
      </c>
      <c r="B25" s="46" t="s">
        <v>124</v>
      </c>
      <c r="C25" s="44" t="s">
        <v>320</v>
      </c>
      <c r="D25" s="44" t="s">
        <v>321</v>
      </c>
      <c r="E25" s="45">
        <v>2272</v>
      </c>
      <c r="F25" s="42">
        <v>18</v>
      </c>
      <c r="G25" s="56">
        <f t="shared" si="4"/>
        <v>204</v>
      </c>
      <c r="H25" s="56">
        <f t="shared" si="5"/>
        <v>204</v>
      </c>
      <c r="I25" s="56">
        <f t="shared" si="6"/>
        <v>408</v>
      </c>
      <c r="J25" s="57">
        <f t="shared" si="7"/>
        <v>2680</v>
      </c>
    </row>
    <row r="26" spans="1:10" x14ac:dyDescent="0.25">
      <c r="A26" s="59" t="s">
        <v>306</v>
      </c>
      <c r="B26" s="46" t="s">
        <v>124</v>
      </c>
      <c r="C26" s="44" t="s">
        <v>322</v>
      </c>
      <c r="D26" s="44" t="s">
        <v>321</v>
      </c>
      <c r="E26" s="45">
        <v>2154</v>
      </c>
      <c r="F26" s="42">
        <v>18</v>
      </c>
      <c r="G26" s="56">
        <f t="shared" si="4"/>
        <v>194</v>
      </c>
      <c r="H26" s="56">
        <f t="shared" si="5"/>
        <v>194</v>
      </c>
      <c r="I26" s="56">
        <f t="shared" si="6"/>
        <v>388</v>
      </c>
      <c r="J26" s="57">
        <f t="shared" si="7"/>
        <v>2542</v>
      </c>
    </row>
    <row r="27" spans="1:10" x14ac:dyDescent="0.25">
      <c r="A27" s="59" t="s">
        <v>306</v>
      </c>
      <c r="B27" s="46" t="s">
        <v>124</v>
      </c>
      <c r="C27" s="44" t="s">
        <v>323</v>
      </c>
      <c r="D27" s="44" t="s">
        <v>321</v>
      </c>
      <c r="E27" s="45">
        <v>550</v>
      </c>
      <c r="F27" s="42">
        <v>18</v>
      </c>
      <c r="G27" s="56">
        <f t="shared" si="4"/>
        <v>50</v>
      </c>
      <c r="H27" s="56">
        <f t="shared" si="5"/>
        <v>50</v>
      </c>
      <c r="I27" s="56">
        <f t="shared" si="6"/>
        <v>100</v>
      </c>
      <c r="J27" s="57">
        <f t="shared" si="7"/>
        <v>650</v>
      </c>
    </row>
    <row r="28" spans="1:10" x14ac:dyDescent="0.25">
      <c r="A28" s="59" t="s">
        <v>306</v>
      </c>
      <c r="B28" s="46" t="s">
        <v>124</v>
      </c>
      <c r="C28" s="44" t="s">
        <v>324</v>
      </c>
      <c r="D28" s="44" t="s">
        <v>321</v>
      </c>
      <c r="E28" s="45">
        <v>3120</v>
      </c>
      <c r="F28" s="42">
        <v>18</v>
      </c>
      <c r="G28" s="56">
        <f t="shared" si="4"/>
        <v>281</v>
      </c>
      <c r="H28" s="56">
        <f t="shared" si="5"/>
        <v>281</v>
      </c>
      <c r="I28" s="56">
        <f t="shared" si="6"/>
        <v>562</v>
      </c>
      <c r="J28" s="57">
        <f t="shared" si="7"/>
        <v>3682</v>
      </c>
    </row>
    <row r="29" spans="1:10" x14ac:dyDescent="0.25">
      <c r="A29" s="59" t="s">
        <v>135</v>
      </c>
      <c r="B29" s="46" t="s">
        <v>136</v>
      </c>
      <c r="C29" s="44" t="s">
        <v>325</v>
      </c>
      <c r="D29" s="44" t="s">
        <v>326</v>
      </c>
      <c r="E29" s="45">
        <v>7638</v>
      </c>
      <c r="F29" s="42">
        <v>18</v>
      </c>
      <c r="G29" s="56">
        <f t="shared" si="4"/>
        <v>687</v>
      </c>
      <c r="H29" s="56">
        <f t="shared" si="5"/>
        <v>687</v>
      </c>
      <c r="I29" s="56">
        <f t="shared" si="6"/>
        <v>1374</v>
      </c>
      <c r="J29" s="57">
        <f t="shared" si="7"/>
        <v>9012</v>
      </c>
    </row>
    <row r="30" spans="1:10" x14ac:dyDescent="0.25">
      <c r="A30" s="59" t="s">
        <v>306</v>
      </c>
      <c r="B30" s="46" t="s">
        <v>124</v>
      </c>
      <c r="C30" s="44" t="s">
        <v>327</v>
      </c>
      <c r="D30" s="44" t="s">
        <v>326</v>
      </c>
      <c r="E30" s="45">
        <v>220</v>
      </c>
      <c r="F30" s="42">
        <v>18</v>
      </c>
      <c r="G30" s="56">
        <f t="shared" si="4"/>
        <v>20</v>
      </c>
      <c r="H30" s="56">
        <f t="shared" si="5"/>
        <v>20</v>
      </c>
      <c r="I30" s="56">
        <f t="shared" si="6"/>
        <v>40</v>
      </c>
      <c r="J30" s="57">
        <f t="shared" si="7"/>
        <v>260</v>
      </c>
    </row>
    <row r="31" spans="1:10" x14ac:dyDescent="0.25">
      <c r="A31" s="59" t="s">
        <v>306</v>
      </c>
      <c r="B31" s="46" t="s">
        <v>124</v>
      </c>
      <c r="C31" s="44" t="s">
        <v>328</v>
      </c>
      <c r="D31" s="44" t="s">
        <v>326</v>
      </c>
      <c r="E31" s="45">
        <v>2080</v>
      </c>
      <c r="F31" s="42">
        <v>18</v>
      </c>
      <c r="G31" s="56">
        <f t="shared" si="4"/>
        <v>187</v>
      </c>
      <c r="H31" s="56">
        <f t="shared" si="5"/>
        <v>187</v>
      </c>
      <c r="I31" s="56">
        <f t="shared" si="6"/>
        <v>374</v>
      </c>
      <c r="J31" s="57">
        <f t="shared" si="7"/>
        <v>2454</v>
      </c>
    </row>
    <row r="32" spans="1:10" x14ac:dyDescent="0.25">
      <c r="A32" s="59" t="s">
        <v>306</v>
      </c>
      <c r="B32" s="46" t="s">
        <v>124</v>
      </c>
      <c r="C32" s="44" t="s">
        <v>329</v>
      </c>
      <c r="D32" s="44" t="s">
        <v>326</v>
      </c>
      <c r="E32" s="45">
        <v>2480</v>
      </c>
      <c r="F32" s="42">
        <v>18</v>
      </c>
      <c r="G32" s="56">
        <f t="shared" si="4"/>
        <v>223</v>
      </c>
      <c r="H32" s="56">
        <f t="shared" si="5"/>
        <v>223</v>
      </c>
      <c r="I32" s="56">
        <f t="shared" si="6"/>
        <v>446</v>
      </c>
      <c r="J32" s="57">
        <f t="shared" si="7"/>
        <v>2926</v>
      </c>
    </row>
    <row r="33" spans="1:10" x14ac:dyDescent="0.25">
      <c r="A33" s="59" t="s">
        <v>306</v>
      </c>
      <c r="B33" s="46" t="s">
        <v>124</v>
      </c>
      <c r="C33" s="44" t="s">
        <v>330</v>
      </c>
      <c r="D33" s="44" t="s">
        <v>331</v>
      </c>
      <c r="E33" s="45">
        <v>6716</v>
      </c>
      <c r="F33" s="42">
        <v>18</v>
      </c>
      <c r="G33" s="56">
        <f t="shared" si="4"/>
        <v>604</v>
      </c>
      <c r="H33" s="56">
        <f t="shared" si="5"/>
        <v>604</v>
      </c>
      <c r="I33" s="56">
        <f t="shared" si="6"/>
        <v>1208</v>
      </c>
      <c r="J33" s="57">
        <f t="shared" si="7"/>
        <v>7924</v>
      </c>
    </row>
    <row r="34" spans="1:10" x14ac:dyDescent="0.25">
      <c r="A34" s="59" t="s">
        <v>135</v>
      </c>
      <c r="B34" s="46" t="s">
        <v>136</v>
      </c>
      <c r="C34" s="44" t="s">
        <v>332</v>
      </c>
      <c r="D34" s="44" t="s">
        <v>331</v>
      </c>
      <c r="E34" s="45">
        <v>2508</v>
      </c>
      <c r="F34" s="42">
        <v>18</v>
      </c>
      <c r="G34" s="56">
        <f t="shared" si="4"/>
        <v>226</v>
      </c>
      <c r="H34" s="56">
        <f t="shared" si="5"/>
        <v>226</v>
      </c>
      <c r="I34" s="56">
        <f t="shared" si="6"/>
        <v>452</v>
      </c>
      <c r="J34" s="57">
        <f t="shared" si="7"/>
        <v>2960</v>
      </c>
    </row>
    <row r="35" spans="1:10" x14ac:dyDescent="0.25">
      <c r="A35" s="59"/>
      <c r="B35" s="46"/>
      <c r="C35" s="44"/>
      <c r="D35" s="44"/>
      <c r="E35" s="45"/>
      <c r="F35" s="42">
        <v>18</v>
      </c>
      <c r="G35" s="56">
        <f t="shared" si="4"/>
        <v>0</v>
      </c>
      <c r="H35" s="56">
        <f t="shared" si="5"/>
        <v>0</v>
      </c>
      <c r="I35" s="56">
        <f t="shared" si="6"/>
        <v>0</v>
      </c>
      <c r="J35" s="57">
        <f t="shared" si="7"/>
        <v>0</v>
      </c>
    </row>
    <row r="36" spans="1:10" x14ac:dyDescent="0.25">
      <c r="A36" s="59"/>
      <c r="B36" s="46"/>
      <c r="C36" s="44"/>
      <c r="D36" s="44"/>
      <c r="E36" s="45"/>
      <c r="F36" s="42">
        <v>18</v>
      </c>
      <c r="G36" s="56">
        <f t="shared" si="4"/>
        <v>0</v>
      </c>
      <c r="H36" s="56">
        <f t="shared" si="5"/>
        <v>0</v>
      </c>
      <c r="I36" s="56">
        <f t="shared" si="6"/>
        <v>0</v>
      </c>
      <c r="J36" s="57">
        <f t="shared" si="7"/>
        <v>0</v>
      </c>
    </row>
    <row r="37" spans="1:10" x14ac:dyDescent="0.25">
      <c r="A37" s="59"/>
      <c r="B37" s="46"/>
      <c r="C37" s="44"/>
      <c r="D37" s="44"/>
      <c r="E37" s="45"/>
      <c r="F37" s="42">
        <v>18</v>
      </c>
      <c r="G37" s="56">
        <f t="shared" si="4"/>
        <v>0</v>
      </c>
      <c r="H37" s="56">
        <f t="shared" si="5"/>
        <v>0</v>
      </c>
      <c r="I37" s="56">
        <f t="shared" si="6"/>
        <v>0</v>
      </c>
      <c r="J37" s="57">
        <f t="shared" si="7"/>
        <v>0</v>
      </c>
    </row>
    <row r="38" spans="1:10" x14ac:dyDescent="0.25">
      <c r="A38" s="59"/>
      <c r="B38" s="46"/>
      <c r="C38" s="44"/>
      <c r="D38" s="44"/>
      <c r="E38" s="45"/>
      <c r="F38" s="42">
        <v>18</v>
      </c>
      <c r="G38" s="56">
        <f t="shared" si="4"/>
        <v>0</v>
      </c>
      <c r="H38" s="56">
        <f t="shared" si="5"/>
        <v>0</v>
      </c>
      <c r="I38" s="56">
        <f t="shared" si="6"/>
        <v>0</v>
      </c>
      <c r="J38" s="57">
        <f t="shared" si="7"/>
        <v>0</v>
      </c>
    </row>
    <row r="39" spans="1:10" x14ac:dyDescent="0.25">
      <c r="A39" s="59"/>
      <c r="B39" s="46"/>
      <c r="C39" s="44"/>
      <c r="D39" s="44"/>
      <c r="E39" s="45"/>
      <c r="F39" s="42">
        <v>18</v>
      </c>
      <c r="G39" s="56">
        <f t="shared" si="4"/>
        <v>0</v>
      </c>
      <c r="H39" s="56">
        <f t="shared" si="5"/>
        <v>0</v>
      </c>
      <c r="I39" s="56">
        <f t="shared" si="6"/>
        <v>0</v>
      </c>
      <c r="J39" s="57">
        <f t="shared" si="7"/>
        <v>0</v>
      </c>
    </row>
    <row r="40" spans="1:10" x14ac:dyDescent="0.25">
      <c r="A40" s="59"/>
      <c r="B40" s="46"/>
      <c r="C40" s="44"/>
      <c r="D40" s="44"/>
      <c r="E40" s="45"/>
      <c r="F40" s="42">
        <v>18</v>
      </c>
      <c r="G40" s="56">
        <f t="shared" si="4"/>
        <v>0</v>
      </c>
      <c r="H40" s="56">
        <f t="shared" si="5"/>
        <v>0</v>
      </c>
      <c r="I40" s="56">
        <f t="shared" si="6"/>
        <v>0</v>
      </c>
      <c r="J40" s="57">
        <f t="shared" si="7"/>
        <v>0</v>
      </c>
    </row>
    <row r="41" spans="1:10" x14ac:dyDescent="0.25">
      <c r="A41" s="59"/>
      <c r="B41" s="46"/>
      <c r="C41" s="44"/>
      <c r="D41" s="44"/>
      <c r="E41" s="45"/>
      <c r="F41" s="42">
        <v>18</v>
      </c>
      <c r="G41" s="56">
        <f t="shared" si="4"/>
        <v>0</v>
      </c>
      <c r="H41" s="56">
        <f t="shared" si="5"/>
        <v>0</v>
      </c>
      <c r="I41" s="56">
        <f t="shared" si="6"/>
        <v>0</v>
      </c>
      <c r="J41" s="57">
        <f t="shared" si="7"/>
        <v>0</v>
      </c>
    </row>
    <row r="42" spans="1:10" x14ac:dyDescent="0.25">
      <c r="A42" s="59"/>
      <c r="B42" s="46"/>
      <c r="C42" s="44"/>
      <c r="D42" s="44"/>
      <c r="E42" s="45"/>
      <c r="F42" s="42">
        <v>18</v>
      </c>
      <c r="G42" s="56">
        <f t="shared" si="4"/>
        <v>0</v>
      </c>
      <c r="H42" s="56">
        <f t="shared" si="5"/>
        <v>0</v>
      </c>
      <c r="I42" s="56">
        <f t="shared" si="6"/>
        <v>0</v>
      </c>
      <c r="J42" s="57">
        <f t="shared" si="7"/>
        <v>0</v>
      </c>
    </row>
    <row r="43" spans="1:10" x14ac:dyDescent="0.25">
      <c r="A43" s="59"/>
      <c r="B43" s="46"/>
      <c r="C43" s="44"/>
      <c r="D43" s="44"/>
      <c r="E43" s="45"/>
      <c r="F43" s="42">
        <v>18</v>
      </c>
      <c r="G43" s="56">
        <f t="shared" si="4"/>
        <v>0</v>
      </c>
      <c r="H43" s="56">
        <f t="shared" si="5"/>
        <v>0</v>
      </c>
      <c r="I43" s="56">
        <f t="shared" si="6"/>
        <v>0</v>
      </c>
      <c r="J43" s="57">
        <f t="shared" si="7"/>
        <v>0</v>
      </c>
    </row>
    <row r="44" spans="1:10" x14ac:dyDescent="0.25">
      <c r="A44" s="59"/>
      <c r="B44" s="46"/>
      <c r="C44" s="44"/>
      <c r="D44" s="44"/>
      <c r="E44" s="45"/>
      <c r="F44" s="42">
        <v>18</v>
      </c>
      <c r="G44" s="56">
        <f t="shared" si="4"/>
        <v>0</v>
      </c>
      <c r="H44" s="56">
        <f t="shared" si="5"/>
        <v>0</v>
      </c>
      <c r="I44" s="56">
        <f t="shared" si="6"/>
        <v>0</v>
      </c>
      <c r="J44" s="57">
        <f t="shared" si="7"/>
        <v>0</v>
      </c>
    </row>
    <row r="45" spans="1:10" x14ac:dyDescent="0.25">
      <c r="A45" s="59"/>
      <c r="B45" s="46"/>
      <c r="C45" s="44"/>
      <c r="D45" s="44"/>
      <c r="E45" s="45"/>
      <c r="F45" s="42">
        <v>18</v>
      </c>
      <c r="G45" s="56">
        <f t="shared" si="4"/>
        <v>0</v>
      </c>
      <c r="H45" s="56">
        <f t="shared" si="5"/>
        <v>0</v>
      </c>
      <c r="I45" s="56">
        <f t="shared" si="6"/>
        <v>0</v>
      </c>
      <c r="J45" s="57">
        <f t="shared" si="7"/>
        <v>0</v>
      </c>
    </row>
    <row r="46" spans="1:10" x14ac:dyDescent="0.25">
      <c r="A46" s="59"/>
      <c r="B46" s="46"/>
      <c r="C46" s="44"/>
      <c r="D46" s="44"/>
      <c r="E46" s="45"/>
      <c r="F46" s="42">
        <v>18</v>
      </c>
      <c r="G46" s="56">
        <f t="shared" si="4"/>
        <v>0</v>
      </c>
      <c r="H46" s="56">
        <f t="shared" si="5"/>
        <v>0</v>
      </c>
      <c r="I46" s="56">
        <f t="shared" si="6"/>
        <v>0</v>
      </c>
      <c r="J46" s="57">
        <f t="shared" si="7"/>
        <v>0</v>
      </c>
    </row>
    <row r="47" spans="1:10" x14ac:dyDescent="0.25">
      <c r="A47" s="59"/>
      <c r="B47" s="46"/>
      <c r="C47" s="44"/>
      <c r="D47" s="44"/>
      <c r="E47" s="45"/>
      <c r="F47" s="42">
        <v>18</v>
      </c>
      <c r="G47" s="56">
        <f t="shared" si="4"/>
        <v>0</v>
      </c>
      <c r="H47" s="56">
        <f t="shared" si="5"/>
        <v>0</v>
      </c>
      <c r="I47" s="56">
        <f t="shared" si="6"/>
        <v>0</v>
      </c>
      <c r="J47" s="57">
        <f t="shared" si="7"/>
        <v>0</v>
      </c>
    </row>
    <row r="48" spans="1:10" x14ac:dyDescent="0.25">
      <c r="A48" s="59"/>
      <c r="B48" s="46"/>
      <c r="C48" s="44"/>
      <c r="D48" s="44"/>
      <c r="E48" s="45"/>
      <c r="F48" s="42">
        <v>18</v>
      </c>
      <c r="G48" s="56">
        <f t="shared" si="4"/>
        <v>0</v>
      </c>
      <c r="H48" s="56">
        <f t="shared" si="5"/>
        <v>0</v>
      </c>
      <c r="I48" s="56">
        <f t="shared" si="6"/>
        <v>0</v>
      </c>
      <c r="J48" s="57">
        <f t="shared" si="7"/>
        <v>0</v>
      </c>
    </row>
    <row r="49" spans="1:10" x14ac:dyDescent="0.25">
      <c r="A49" s="59"/>
      <c r="B49" s="46"/>
      <c r="C49" s="44"/>
      <c r="D49" s="44"/>
      <c r="E49" s="45"/>
      <c r="F49" s="42">
        <v>18</v>
      </c>
      <c r="G49" s="56">
        <f t="shared" si="4"/>
        <v>0</v>
      </c>
      <c r="H49" s="56">
        <f t="shared" si="5"/>
        <v>0</v>
      </c>
      <c r="I49" s="56">
        <f t="shared" si="6"/>
        <v>0</v>
      </c>
      <c r="J49" s="57">
        <f t="shared" si="7"/>
        <v>0</v>
      </c>
    </row>
    <row r="50" spans="1:10" x14ac:dyDescent="0.25">
      <c r="A50" s="59"/>
      <c r="B50" s="46"/>
      <c r="C50" s="44"/>
      <c r="D50" s="44"/>
      <c r="E50" s="45"/>
      <c r="F50" s="42">
        <v>18</v>
      </c>
      <c r="G50" s="56">
        <f t="shared" si="4"/>
        <v>0</v>
      </c>
      <c r="H50" s="56">
        <f t="shared" si="5"/>
        <v>0</v>
      </c>
      <c r="I50" s="56">
        <f t="shared" si="6"/>
        <v>0</v>
      </c>
      <c r="J50" s="57">
        <f t="shared" si="7"/>
        <v>0</v>
      </c>
    </row>
    <row r="51" spans="1:10" x14ac:dyDescent="0.25">
      <c r="A51" s="59"/>
      <c r="B51" s="46"/>
      <c r="C51" s="44"/>
      <c r="D51" s="44"/>
      <c r="E51" s="45"/>
      <c r="F51" s="42">
        <v>18</v>
      </c>
      <c r="G51" s="56">
        <f t="shared" si="4"/>
        <v>0</v>
      </c>
      <c r="H51" s="56">
        <f t="shared" si="5"/>
        <v>0</v>
      </c>
      <c r="I51" s="56">
        <f t="shared" si="6"/>
        <v>0</v>
      </c>
      <c r="J51" s="57">
        <f t="shared" si="7"/>
        <v>0</v>
      </c>
    </row>
    <row r="52" spans="1:10" x14ac:dyDescent="0.25">
      <c r="A52" s="59"/>
      <c r="B52" s="46"/>
      <c r="C52" s="44"/>
      <c r="D52" s="44"/>
      <c r="E52" s="45"/>
      <c r="F52" s="42">
        <v>18</v>
      </c>
      <c r="G52" s="56">
        <f t="shared" si="4"/>
        <v>0</v>
      </c>
      <c r="H52" s="56">
        <f t="shared" si="5"/>
        <v>0</v>
      </c>
      <c r="I52" s="56">
        <f t="shared" si="6"/>
        <v>0</v>
      </c>
      <c r="J52" s="57">
        <f t="shared" si="7"/>
        <v>0</v>
      </c>
    </row>
    <row r="53" spans="1:10" x14ac:dyDescent="0.25">
      <c r="A53" s="59"/>
      <c r="B53" s="46"/>
      <c r="C53" s="44"/>
      <c r="D53" s="44"/>
      <c r="E53" s="45"/>
      <c r="F53" s="42">
        <v>18</v>
      </c>
      <c r="G53" s="56">
        <f t="shared" si="4"/>
        <v>0</v>
      </c>
      <c r="H53" s="56">
        <f t="shared" si="5"/>
        <v>0</v>
      </c>
      <c r="I53" s="56">
        <f t="shared" si="6"/>
        <v>0</v>
      </c>
      <c r="J53" s="57">
        <f t="shared" si="7"/>
        <v>0</v>
      </c>
    </row>
    <row r="54" spans="1:10" x14ac:dyDescent="0.25">
      <c r="A54" s="59"/>
      <c r="B54" s="46"/>
      <c r="C54" s="44"/>
      <c r="D54" s="44"/>
      <c r="E54" s="45"/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59"/>
      <c r="B55" s="46"/>
      <c r="C55" s="44"/>
      <c r="D55" s="44"/>
      <c r="E55" s="45"/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59"/>
      <c r="B56" s="46"/>
      <c r="C56" s="44"/>
      <c r="D56" s="44"/>
      <c r="E56" s="45"/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59"/>
      <c r="B57" s="46"/>
      <c r="C57" s="44"/>
      <c r="D57" s="44"/>
      <c r="E57" s="45"/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59"/>
      <c r="B58" s="46"/>
      <c r="C58" s="44"/>
      <c r="D58" s="44"/>
      <c r="E58" s="45"/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59"/>
      <c r="B59" s="46"/>
      <c r="C59" s="44"/>
      <c r="D59" s="44"/>
      <c r="E59" s="45"/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59"/>
      <c r="B60" s="46"/>
      <c r="C60" s="44"/>
      <c r="D60" s="44"/>
      <c r="E60" s="45"/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  <row r="61" spans="1:10" x14ac:dyDescent="0.25">
      <c r="A61" s="59"/>
      <c r="B61" s="46"/>
      <c r="C61" s="44"/>
      <c r="D61" s="44"/>
      <c r="E61" s="45"/>
      <c r="F61" s="42">
        <v>18</v>
      </c>
      <c r="G61" s="56">
        <f t="shared" si="4"/>
        <v>0</v>
      </c>
      <c r="H61" s="56">
        <f t="shared" si="5"/>
        <v>0</v>
      </c>
      <c r="I61" s="56">
        <f t="shared" si="6"/>
        <v>0</v>
      </c>
      <c r="J61" s="57">
        <f t="shared" si="7"/>
        <v>0</v>
      </c>
    </row>
    <row r="62" spans="1:10" x14ac:dyDescent="0.25">
      <c r="A62" s="59"/>
      <c r="B62" s="46"/>
      <c r="C62" s="44"/>
      <c r="D62" s="44"/>
      <c r="E62" s="45"/>
      <c r="F62" s="42">
        <v>18</v>
      </c>
      <c r="G62" s="56">
        <f t="shared" si="4"/>
        <v>0</v>
      </c>
      <c r="H62" s="56">
        <f t="shared" si="5"/>
        <v>0</v>
      </c>
      <c r="I62" s="56">
        <f t="shared" si="6"/>
        <v>0</v>
      </c>
      <c r="J62" s="57">
        <f t="shared" si="7"/>
        <v>0</v>
      </c>
    </row>
    <row r="63" spans="1:10" x14ac:dyDescent="0.25">
      <c r="A63" s="59"/>
      <c r="B63" s="46"/>
      <c r="C63" s="44"/>
      <c r="D63" s="44"/>
      <c r="E63" s="45"/>
      <c r="F63" s="42">
        <v>18</v>
      </c>
      <c r="G63" s="56">
        <f t="shared" si="4"/>
        <v>0</v>
      </c>
      <c r="H63" s="56">
        <f t="shared" si="5"/>
        <v>0</v>
      </c>
      <c r="I63" s="56">
        <f t="shared" si="6"/>
        <v>0</v>
      </c>
      <c r="J63" s="57">
        <f t="shared" si="7"/>
        <v>0</v>
      </c>
    </row>
    <row r="64" spans="1:10" x14ac:dyDescent="0.25">
      <c r="A64" s="59"/>
      <c r="B64" s="46"/>
      <c r="C64" s="44"/>
      <c r="D64" s="44"/>
      <c r="E64" s="45"/>
      <c r="F64" s="42">
        <v>18</v>
      </c>
      <c r="G64" s="56">
        <f t="shared" si="4"/>
        <v>0</v>
      </c>
      <c r="H64" s="56">
        <f t="shared" si="5"/>
        <v>0</v>
      </c>
      <c r="I64" s="56">
        <f t="shared" si="6"/>
        <v>0</v>
      </c>
      <c r="J64" s="57">
        <f t="shared" si="7"/>
        <v>0</v>
      </c>
    </row>
    <row r="65" spans="1:10" x14ac:dyDescent="0.25">
      <c r="A65" s="59"/>
      <c r="B65" s="46"/>
      <c r="C65" s="44"/>
      <c r="D65" s="44"/>
      <c r="E65" s="45"/>
      <c r="F65" s="42">
        <v>18</v>
      </c>
      <c r="G65" s="56">
        <f t="shared" si="4"/>
        <v>0</v>
      </c>
      <c r="H65" s="56">
        <f t="shared" si="5"/>
        <v>0</v>
      </c>
      <c r="I65" s="56">
        <f t="shared" si="6"/>
        <v>0</v>
      </c>
      <c r="J65" s="57">
        <f t="shared" si="7"/>
        <v>0</v>
      </c>
    </row>
    <row r="66" spans="1:10" x14ac:dyDescent="0.25">
      <c r="A66" s="59"/>
      <c r="B66" s="46"/>
      <c r="C66" s="44"/>
      <c r="D66" s="44"/>
      <c r="E66" s="45"/>
      <c r="F66" s="42">
        <v>18</v>
      </c>
      <c r="G66" s="56">
        <f t="shared" si="4"/>
        <v>0</v>
      </c>
      <c r="H66" s="56">
        <f t="shared" si="5"/>
        <v>0</v>
      </c>
      <c r="I66" s="56">
        <f t="shared" si="6"/>
        <v>0</v>
      </c>
      <c r="J66" s="57">
        <f t="shared" si="7"/>
        <v>0</v>
      </c>
    </row>
    <row r="67" spans="1:10" x14ac:dyDescent="0.25">
      <c r="A67" s="59"/>
      <c r="B67" s="46"/>
      <c r="C67" s="44"/>
      <c r="D67" s="44"/>
      <c r="E67" s="45"/>
      <c r="F67" s="42">
        <v>18</v>
      </c>
      <c r="G67" s="56">
        <f t="shared" si="4"/>
        <v>0</v>
      </c>
      <c r="H67" s="56">
        <f t="shared" si="5"/>
        <v>0</v>
      </c>
      <c r="I67" s="56">
        <f t="shared" si="6"/>
        <v>0</v>
      </c>
      <c r="J67" s="57">
        <f t="shared" si="7"/>
        <v>0</v>
      </c>
    </row>
    <row r="68" spans="1:10" x14ac:dyDescent="0.25">
      <c r="A68" s="59"/>
      <c r="B68" s="46"/>
      <c r="C68" s="44"/>
      <c r="D68" s="44"/>
      <c r="E68" s="45"/>
      <c r="F68" s="42">
        <v>18</v>
      </c>
      <c r="G68" s="56">
        <f t="shared" si="4"/>
        <v>0</v>
      </c>
      <c r="H68" s="56">
        <f t="shared" si="5"/>
        <v>0</v>
      </c>
      <c r="I68" s="56">
        <f t="shared" si="6"/>
        <v>0</v>
      </c>
      <c r="J68" s="57">
        <f t="shared" si="7"/>
        <v>0</v>
      </c>
    </row>
    <row r="69" spans="1:10" x14ac:dyDescent="0.25">
      <c r="A69" s="59"/>
      <c r="B69" s="46"/>
      <c r="C69" s="44"/>
      <c r="D69" s="44"/>
      <c r="E69" s="45"/>
      <c r="F69" s="42">
        <v>18</v>
      </c>
      <c r="G69" s="56">
        <f t="shared" si="4"/>
        <v>0</v>
      </c>
      <c r="H69" s="56">
        <f t="shared" si="5"/>
        <v>0</v>
      </c>
      <c r="I69" s="56">
        <f t="shared" si="6"/>
        <v>0</v>
      </c>
      <c r="J69" s="57">
        <f t="shared" si="7"/>
        <v>0</v>
      </c>
    </row>
    <row r="70" spans="1:10" x14ac:dyDescent="0.25">
      <c r="A70" s="59"/>
      <c r="B70" s="46"/>
      <c r="C70" s="44"/>
      <c r="D70" s="44"/>
      <c r="E70" s="45"/>
      <c r="F70" s="42">
        <v>18</v>
      </c>
      <c r="G70" s="56">
        <f t="shared" ref="G70:G133" si="8">ROUND((E70*F70%)/2,)</f>
        <v>0</v>
      </c>
      <c r="H70" s="56">
        <f t="shared" ref="H70:H133" si="9">G70</f>
        <v>0</v>
      </c>
      <c r="I70" s="56">
        <f t="shared" ref="I70:I133" si="10">G70+H70</f>
        <v>0</v>
      </c>
      <c r="J70" s="57">
        <f t="shared" ref="J70:J133" si="11">E70+I70</f>
        <v>0</v>
      </c>
    </row>
    <row r="71" spans="1:10" x14ac:dyDescent="0.25">
      <c r="A71" s="59"/>
      <c r="B71" s="46"/>
      <c r="C71" s="44"/>
      <c r="D71" s="44"/>
      <c r="E71" s="45"/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59"/>
      <c r="B72" s="46"/>
      <c r="C72" s="44"/>
      <c r="D72" s="44"/>
      <c r="E72" s="45"/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59"/>
      <c r="B73" s="46"/>
      <c r="C73" s="44"/>
      <c r="D73" s="44"/>
      <c r="E73" s="45"/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59"/>
      <c r="B74" s="46"/>
      <c r="C74" s="44"/>
      <c r="D74" s="44"/>
      <c r="E74" s="45"/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59"/>
      <c r="B75" s="46"/>
      <c r="C75" s="44"/>
      <c r="D75" s="44"/>
      <c r="E75" s="45"/>
      <c r="F75" s="42">
        <v>18</v>
      </c>
      <c r="G75" s="56">
        <f t="shared" si="8"/>
        <v>0</v>
      </c>
      <c r="H75" s="56">
        <f t="shared" si="9"/>
        <v>0</v>
      </c>
      <c r="I75" s="56">
        <f t="shared" si="10"/>
        <v>0</v>
      </c>
      <c r="J75" s="57">
        <f t="shared" si="11"/>
        <v>0</v>
      </c>
    </row>
    <row r="76" spans="1:10" x14ac:dyDescent="0.25">
      <c r="A76" s="59"/>
      <c r="B76" s="46"/>
      <c r="C76" s="44"/>
      <c r="D76" s="44"/>
      <c r="E76" s="45"/>
      <c r="F76" s="42">
        <v>18</v>
      </c>
      <c r="G76" s="56">
        <f t="shared" si="8"/>
        <v>0</v>
      </c>
      <c r="H76" s="56">
        <f t="shared" si="9"/>
        <v>0</v>
      </c>
      <c r="I76" s="56">
        <f t="shared" si="10"/>
        <v>0</v>
      </c>
      <c r="J76" s="57">
        <f t="shared" si="11"/>
        <v>0</v>
      </c>
    </row>
    <row r="77" spans="1:10" x14ac:dyDescent="0.25">
      <c r="A77" s="59"/>
      <c r="B77" s="46"/>
      <c r="C77" s="44"/>
      <c r="D77" s="44"/>
      <c r="E77" s="45"/>
      <c r="F77" s="42">
        <v>18</v>
      </c>
      <c r="G77" s="56">
        <f t="shared" si="8"/>
        <v>0</v>
      </c>
      <c r="H77" s="56">
        <f t="shared" si="9"/>
        <v>0</v>
      </c>
      <c r="I77" s="56">
        <f t="shared" si="10"/>
        <v>0</v>
      </c>
      <c r="J77" s="57">
        <f t="shared" si="11"/>
        <v>0</v>
      </c>
    </row>
    <row r="78" spans="1:10" x14ac:dyDescent="0.25">
      <c r="A78" s="59"/>
      <c r="B78" s="46"/>
      <c r="C78" s="44"/>
      <c r="D78" s="44"/>
      <c r="E78" s="45"/>
      <c r="F78" s="42">
        <v>18</v>
      </c>
      <c r="G78" s="56">
        <f t="shared" si="8"/>
        <v>0</v>
      </c>
      <c r="H78" s="56">
        <f t="shared" si="9"/>
        <v>0</v>
      </c>
      <c r="I78" s="56">
        <f t="shared" si="10"/>
        <v>0</v>
      </c>
      <c r="J78" s="57">
        <f t="shared" si="11"/>
        <v>0</v>
      </c>
    </row>
    <row r="79" spans="1:10" x14ac:dyDescent="0.25">
      <c r="A79" s="59"/>
      <c r="B79" s="46"/>
      <c r="C79" s="44"/>
      <c r="D79" s="44"/>
      <c r="E79" s="45"/>
      <c r="F79" s="42">
        <v>18</v>
      </c>
      <c r="G79" s="56">
        <f t="shared" si="8"/>
        <v>0</v>
      </c>
      <c r="H79" s="56">
        <f t="shared" si="9"/>
        <v>0</v>
      </c>
      <c r="I79" s="56">
        <f t="shared" si="10"/>
        <v>0</v>
      </c>
      <c r="J79" s="57">
        <f t="shared" si="11"/>
        <v>0</v>
      </c>
    </row>
    <row r="80" spans="1:10" x14ac:dyDescent="0.25">
      <c r="A80" s="59"/>
      <c r="B80" s="46"/>
      <c r="C80" s="44"/>
      <c r="D80" s="44"/>
      <c r="E80" s="45"/>
      <c r="F80" s="42">
        <v>18</v>
      </c>
      <c r="G80" s="56">
        <f t="shared" si="8"/>
        <v>0</v>
      </c>
      <c r="H80" s="56">
        <f t="shared" si="9"/>
        <v>0</v>
      </c>
      <c r="I80" s="56">
        <f t="shared" si="10"/>
        <v>0</v>
      </c>
      <c r="J80" s="57">
        <f t="shared" si="11"/>
        <v>0</v>
      </c>
    </row>
    <row r="81" spans="1:10" x14ac:dyDescent="0.25">
      <c r="A81" s="59"/>
      <c r="B81" s="46"/>
      <c r="C81" s="44"/>
      <c r="D81" s="44"/>
      <c r="E81" s="45"/>
      <c r="F81" s="42">
        <v>18</v>
      </c>
      <c r="G81" s="56">
        <f t="shared" si="8"/>
        <v>0</v>
      </c>
      <c r="H81" s="56">
        <f t="shared" si="9"/>
        <v>0</v>
      </c>
      <c r="I81" s="56">
        <f t="shared" si="10"/>
        <v>0</v>
      </c>
      <c r="J81" s="57">
        <f t="shared" si="11"/>
        <v>0</v>
      </c>
    </row>
    <row r="82" spans="1:10" x14ac:dyDescent="0.25">
      <c r="A82" s="59"/>
      <c r="B82" s="46"/>
      <c r="C82" s="44"/>
      <c r="D82" s="44"/>
      <c r="E82" s="45"/>
      <c r="F82" s="42">
        <v>18</v>
      </c>
      <c r="G82" s="56">
        <f t="shared" si="8"/>
        <v>0</v>
      </c>
      <c r="H82" s="56">
        <f t="shared" si="9"/>
        <v>0</v>
      </c>
      <c r="I82" s="56">
        <f t="shared" si="10"/>
        <v>0</v>
      </c>
      <c r="J82" s="57">
        <f t="shared" si="11"/>
        <v>0</v>
      </c>
    </row>
    <row r="83" spans="1:10" x14ac:dyDescent="0.25">
      <c r="A83" s="59"/>
      <c r="B83" s="46"/>
      <c r="C83" s="44"/>
      <c r="D83" s="44"/>
      <c r="E83" s="45"/>
      <c r="F83" s="42">
        <v>18</v>
      </c>
      <c r="G83" s="56">
        <f t="shared" si="8"/>
        <v>0</v>
      </c>
      <c r="H83" s="56">
        <f t="shared" si="9"/>
        <v>0</v>
      </c>
      <c r="I83" s="56">
        <f t="shared" si="10"/>
        <v>0</v>
      </c>
      <c r="J83" s="57">
        <f t="shared" si="11"/>
        <v>0</v>
      </c>
    </row>
    <row r="84" spans="1:10" x14ac:dyDescent="0.25">
      <c r="A84" s="59"/>
      <c r="B84" s="46"/>
      <c r="C84" s="44"/>
      <c r="D84" s="44"/>
      <c r="E84" s="45"/>
      <c r="F84" s="42">
        <v>18</v>
      </c>
      <c r="G84" s="56">
        <f t="shared" si="8"/>
        <v>0</v>
      </c>
      <c r="H84" s="56">
        <f t="shared" si="9"/>
        <v>0</v>
      </c>
      <c r="I84" s="56">
        <f t="shared" si="10"/>
        <v>0</v>
      </c>
      <c r="J84" s="57">
        <f t="shared" si="11"/>
        <v>0</v>
      </c>
    </row>
    <row r="85" spans="1:10" x14ac:dyDescent="0.25">
      <c r="A85" s="59"/>
      <c r="B85" s="46"/>
      <c r="C85" s="44"/>
      <c r="D85" s="44"/>
      <c r="E85" s="45"/>
      <c r="F85" s="42">
        <v>18</v>
      </c>
      <c r="G85" s="56">
        <f t="shared" si="8"/>
        <v>0</v>
      </c>
      <c r="H85" s="56">
        <f t="shared" si="9"/>
        <v>0</v>
      </c>
      <c r="I85" s="56">
        <f t="shared" si="10"/>
        <v>0</v>
      </c>
      <c r="J85" s="57">
        <f t="shared" si="11"/>
        <v>0</v>
      </c>
    </row>
    <row r="86" spans="1:10" x14ac:dyDescent="0.25">
      <c r="A86" s="59"/>
      <c r="B86" s="46"/>
      <c r="C86" s="44"/>
      <c r="D86" s="44"/>
      <c r="E86" s="45"/>
      <c r="F86" s="42">
        <v>18</v>
      </c>
      <c r="G86" s="56">
        <f t="shared" si="8"/>
        <v>0</v>
      </c>
      <c r="H86" s="56">
        <f t="shared" si="9"/>
        <v>0</v>
      </c>
      <c r="I86" s="56">
        <f t="shared" si="10"/>
        <v>0</v>
      </c>
      <c r="J86" s="57">
        <f t="shared" si="11"/>
        <v>0</v>
      </c>
    </row>
    <row r="87" spans="1:10" x14ac:dyDescent="0.25">
      <c r="A87" s="59"/>
      <c r="B87" s="46"/>
      <c r="C87" s="44"/>
      <c r="D87" s="44"/>
      <c r="E87" s="45"/>
      <c r="F87" s="42">
        <v>18</v>
      </c>
      <c r="G87" s="56">
        <f t="shared" si="8"/>
        <v>0</v>
      </c>
      <c r="H87" s="56">
        <f t="shared" si="9"/>
        <v>0</v>
      </c>
      <c r="I87" s="56">
        <f t="shared" si="10"/>
        <v>0</v>
      </c>
      <c r="J87" s="57">
        <f t="shared" si="11"/>
        <v>0</v>
      </c>
    </row>
    <row r="88" spans="1:10" x14ac:dyDescent="0.25">
      <c r="A88" s="59"/>
      <c r="B88" s="46"/>
      <c r="C88" s="44"/>
      <c r="D88" s="44"/>
      <c r="E88" s="45"/>
      <c r="F88" s="42">
        <v>18</v>
      </c>
      <c r="G88" s="56">
        <f t="shared" si="8"/>
        <v>0</v>
      </c>
      <c r="H88" s="56">
        <f t="shared" si="9"/>
        <v>0</v>
      </c>
      <c r="I88" s="56">
        <f t="shared" si="10"/>
        <v>0</v>
      </c>
      <c r="J88" s="57">
        <f t="shared" si="11"/>
        <v>0</v>
      </c>
    </row>
    <row r="89" spans="1:10" x14ac:dyDescent="0.25">
      <c r="A89" s="59"/>
      <c r="B89" s="46"/>
      <c r="C89" s="44"/>
      <c r="D89" s="44"/>
      <c r="E89" s="45"/>
      <c r="F89" s="42">
        <v>18</v>
      </c>
      <c r="G89" s="56">
        <f t="shared" si="8"/>
        <v>0</v>
      </c>
      <c r="H89" s="56">
        <f t="shared" si="9"/>
        <v>0</v>
      </c>
      <c r="I89" s="56">
        <f t="shared" si="10"/>
        <v>0</v>
      </c>
      <c r="J89" s="57">
        <f t="shared" si="11"/>
        <v>0</v>
      </c>
    </row>
    <row r="90" spans="1:10" x14ac:dyDescent="0.25">
      <c r="A90" s="59"/>
      <c r="B90" s="46"/>
      <c r="C90" s="44"/>
      <c r="D90" s="44"/>
      <c r="E90" s="45"/>
      <c r="F90" s="42">
        <v>18</v>
      </c>
      <c r="G90" s="56">
        <f t="shared" si="8"/>
        <v>0</v>
      </c>
      <c r="H90" s="56">
        <f t="shared" si="9"/>
        <v>0</v>
      </c>
      <c r="I90" s="56">
        <f t="shared" si="10"/>
        <v>0</v>
      </c>
      <c r="J90" s="57">
        <f t="shared" si="11"/>
        <v>0</v>
      </c>
    </row>
    <row r="91" spans="1:10" x14ac:dyDescent="0.25">
      <c r="A91" s="59"/>
      <c r="B91" s="46"/>
      <c r="C91" s="44"/>
      <c r="D91" s="44"/>
      <c r="E91" s="45"/>
      <c r="F91" s="42">
        <v>18</v>
      </c>
      <c r="G91" s="56">
        <f t="shared" si="8"/>
        <v>0</v>
      </c>
      <c r="H91" s="56">
        <f t="shared" si="9"/>
        <v>0</v>
      </c>
      <c r="I91" s="56">
        <f t="shared" si="10"/>
        <v>0</v>
      </c>
      <c r="J91" s="57">
        <f t="shared" si="11"/>
        <v>0</v>
      </c>
    </row>
    <row r="92" spans="1:10" x14ac:dyDescent="0.25">
      <c r="A92" s="59"/>
      <c r="B92" s="46"/>
      <c r="C92" s="44"/>
      <c r="D92" s="44"/>
      <c r="E92" s="45"/>
      <c r="F92" s="42">
        <v>18</v>
      </c>
      <c r="G92" s="56">
        <f t="shared" si="8"/>
        <v>0</v>
      </c>
      <c r="H92" s="56">
        <f t="shared" si="9"/>
        <v>0</v>
      </c>
      <c r="I92" s="56">
        <f t="shared" si="10"/>
        <v>0</v>
      </c>
      <c r="J92" s="57">
        <f t="shared" si="11"/>
        <v>0</v>
      </c>
    </row>
    <row r="93" spans="1:10" x14ac:dyDescent="0.25">
      <c r="A93" s="59"/>
      <c r="B93" s="46"/>
      <c r="C93" s="44"/>
      <c r="D93" s="44"/>
      <c r="E93" s="45"/>
      <c r="F93" s="42">
        <v>18</v>
      </c>
      <c r="G93" s="56">
        <f t="shared" si="8"/>
        <v>0</v>
      </c>
      <c r="H93" s="56">
        <f t="shared" si="9"/>
        <v>0</v>
      </c>
      <c r="I93" s="56">
        <f t="shared" si="10"/>
        <v>0</v>
      </c>
      <c r="J93" s="57">
        <f t="shared" si="11"/>
        <v>0</v>
      </c>
    </row>
    <row r="94" spans="1:10" x14ac:dyDescent="0.25">
      <c r="A94" s="59"/>
      <c r="B94" s="46"/>
      <c r="C94" s="44"/>
      <c r="D94" s="44"/>
      <c r="E94" s="45"/>
      <c r="F94" s="42">
        <v>18</v>
      </c>
      <c r="G94" s="56">
        <f t="shared" si="8"/>
        <v>0</v>
      </c>
      <c r="H94" s="56">
        <f t="shared" si="9"/>
        <v>0</v>
      </c>
      <c r="I94" s="56">
        <f t="shared" si="10"/>
        <v>0</v>
      </c>
      <c r="J94" s="57">
        <f t="shared" si="11"/>
        <v>0</v>
      </c>
    </row>
    <row r="95" spans="1:10" x14ac:dyDescent="0.25">
      <c r="A95" s="59"/>
      <c r="B95" s="46"/>
      <c r="C95" s="44"/>
      <c r="D95" s="44"/>
      <c r="E95" s="45"/>
      <c r="F95" s="42">
        <v>18</v>
      </c>
      <c r="G95" s="56">
        <f t="shared" si="8"/>
        <v>0</v>
      </c>
      <c r="H95" s="56">
        <f t="shared" si="9"/>
        <v>0</v>
      </c>
      <c r="I95" s="56">
        <f t="shared" si="10"/>
        <v>0</v>
      </c>
      <c r="J95" s="57">
        <f t="shared" si="11"/>
        <v>0</v>
      </c>
    </row>
    <row r="96" spans="1:10" x14ac:dyDescent="0.25">
      <c r="A96" s="59"/>
      <c r="B96" s="46"/>
      <c r="C96" s="44"/>
      <c r="D96" s="44"/>
      <c r="E96" s="45"/>
      <c r="F96" s="42">
        <v>18</v>
      </c>
      <c r="G96" s="56">
        <f t="shared" si="8"/>
        <v>0</v>
      </c>
      <c r="H96" s="56">
        <f t="shared" si="9"/>
        <v>0</v>
      </c>
      <c r="I96" s="56">
        <f t="shared" si="10"/>
        <v>0</v>
      </c>
      <c r="J96" s="57">
        <f t="shared" si="11"/>
        <v>0</v>
      </c>
    </row>
    <row r="97" spans="1:10" x14ac:dyDescent="0.25">
      <c r="A97" s="59"/>
      <c r="B97" s="46"/>
      <c r="C97" s="44"/>
      <c r="D97" s="44"/>
      <c r="E97" s="45"/>
      <c r="F97" s="42">
        <v>18</v>
      </c>
      <c r="G97" s="56">
        <f t="shared" si="8"/>
        <v>0</v>
      </c>
      <c r="H97" s="56">
        <f t="shared" si="9"/>
        <v>0</v>
      </c>
      <c r="I97" s="56">
        <f t="shared" si="10"/>
        <v>0</v>
      </c>
      <c r="J97" s="57">
        <f t="shared" si="11"/>
        <v>0</v>
      </c>
    </row>
    <row r="98" spans="1:10" x14ac:dyDescent="0.25">
      <c r="A98" s="59"/>
      <c r="B98" s="46"/>
      <c r="C98" s="44"/>
      <c r="D98" s="44"/>
      <c r="E98" s="45"/>
      <c r="F98" s="42">
        <v>18</v>
      </c>
      <c r="G98" s="56">
        <f t="shared" si="8"/>
        <v>0</v>
      </c>
      <c r="H98" s="56">
        <f t="shared" si="9"/>
        <v>0</v>
      </c>
      <c r="I98" s="56">
        <f t="shared" si="10"/>
        <v>0</v>
      </c>
      <c r="J98" s="57">
        <f t="shared" si="11"/>
        <v>0</v>
      </c>
    </row>
    <row r="99" spans="1:10" x14ac:dyDescent="0.25">
      <c r="A99" s="59"/>
      <c r="B99" s="46"/>
      <c r="C99" s="44"/>
      <c r="D99" s="44"/>
      <c r="E99" s="45"/>
      <c r="F99" s="42">
        <v>18</v>
      </c>
      <c r="G99" s="56">
        <f t="shared" si="8"/>
        <v>0</v>
      </c>
      <c r="H99" s="56">
        <f t="shared" si="9"/>
        <v>0</v>
      </c>
      <c r="I99" s="56">
        <f t="shared" si="10"/>
        <v>0</v>
      </c>
      <c r="J99" s="57">
        <f t="shared" si="11"/>
        <v>0</v>
      </c>
    </row>
    <row r="100" spans="1:10" x14ac:dyDescent="0.25">
      <c r="A100" s="59"/>
      <c r="B100" s="46"/>
      <c r="C100" s="44"/>
      <c r="D100" s="44"/>
      <c r="E100" s="45"/>
      <c r="F100" s="42">
        <v>18</v>
      </c>
      <c r="G100" s="56">
        <f t="shared" si="8"/>
        <v>0</v>
      </c>
      <c r="H100" s="56">
        <f t="shared" si="9"/>
        <v>0</v>
      </c>
      <c r="I100" s="56">
        <f t="shared" si="10"/>
        <v>0</v>
      </c>
      <c r="J100" s="57">
        <f t="shared" si="11"/>
        <v>0</v>
      </c>
    </row>
    <row r="101" spans="1:10" x14ac:dyDescent="0.25">
      <c r="A101" s="59"/>
      <c r="B101" s="46"/>
      <c r="C101" s="44"/>
      <c r="D101" s="44"/>
      <c r="E101" s="45"/>
      <c r="F101" s="42">
        <v>18</v>
      </c>
      <c r="G101" s="56">
        <f t="shared" si="8"/>
        <v>0</v>
      </c>
      <c r="H101" s="56">
        <f t="shared" si="9"/>
        <v>0</v>
      </c>
      <c r="I101" s="56">
        <f t="shared" si="10"/>
        <v>0</v>
      </c>
      <c r="J101" s="57">
        <f t="shared" si="11"/>
        <v>0</v>
      </c>
    </row>
    <row r="102" spans="1:10" x14ac:dyDescent="0.25">
      <c r="A102" s="59"/>
      <c r="B102" s="46"/>
      <c r="C102" s="44"/>
      <c r="D102" s="44"/>
      <c r="E102" s="45"/>
      <c r="F102" s="42">
        <v>18</v>
      </c>
      <c r="G102" s="56">
        <f t="shared" si="8"/>
        <v>0</v>
      </c>
      <c r="H102" s="56">
        <f t="shared" si="9"/>
        <v>0</v>
      </c>
      <c r="I102" s="56">
        <f t="shared" si="10"/>
        <v>0</v>
      </c>
      <c r="J102" s="57">
        <f t="shared" si="11"/>
        <v>0</v>
      </c>
    </row>
    <row r="103" spans="1:10" x14ac:dyDescent="0.25">
      <c r="A103" s="59"/>
      <c r="B103" s="46"/>
      <c r="C103" s="44"/>
      <c r="D103" s="44"/>
      <c r="E103" s="45"/>
      <c r="F103" s="42">
        <v>18</v>
      </c>
      <c r="G103" s="56">
        <f t="shared" si="8"/>
        <v>0</v>
      </c>
      <c r="H103" s="56">
        <f t="shared" si="9"/>
        <v>0</v>
      </c>
      <c r="I103" s="56">
        <f t="shared" si="10"/>
        <v>0</v>
      </c>
      <c r="J103" s="57">
        <f t="shared" si="11"/>
        <v>0</v>
      </c>
    </row>
    <row r="104" spans="1:10" x14ac:dyDescent="0.25">
      <c r="A104" s="59"/>
      <c r="B104" s="46"/>
      <c r="C104" s="44"/>
      <c r="D104" s="44"/>
      <c r="E104" s="45"/>
      <c r="F104" s="42">
        <v>18</v>
      </c>
      <c r="G104" s="56">
        <f t="shared" si="8"/>
        <v>0</v>
      </c>
      <c r="H104" s="56">
        <f t="shared" si="9"/>
        <v>0</v>
      </c>
      <c r="I104" s="56">
        <f t="shared" si="10"/>
        <v>0</v>
      </c>
      <c r="J104" s="57">
        <f t="shared" si="11"/>
        <v>0</v>
      </c>
    </row>
    <row r="105" spans="1:10" x14ac:dyDescent="0.25">
      <c r="A105" s="59"/>
      <c r="B105" s="46"/>
      <c r="C105" s="44"/>
      <c r="D105" s="44"/>
      <c r="E105" s="45"/>
      <c r="F105" s="42">
        <v>18</v>
      </c>
      <c r="G105" s="56">
        <f t="shared" si="8"/>
        <v>0</v>
      </c>
      <c r="H105" s="56">
        <f t="shared" si="9"/>
        <v>0</v>
      </c>
      <c r="I105" s="56">
        <f t="shared" si="10"/>
        <v>0</v>
      </c>
      <c r="J105" s="57">
        <f t="shared" si="11"/>
        <v>0</v>
      </c>
    </row>
    <row r="106" spans="1:10" x14ac:dyDescent="0.25">
      <c r="A106" s="59"/>
      <c r="B106" s="46"/>
      <c r="C106" s="44"/>
      <c r="D106" s="44"/>
      <c r="E106" s="45"/>
      <c r="F106" s="42">
        <v>18</v>
      </c>
      <c r="G106" s="56">
        <f t="shared" si="8"/>
        <v>0</v>
      </c>
      <c r="H106" s="56">
        <f t="shared" si="9"/>
        <v>0</v>
      </c>
      <c r="I106" s="56">
        <f t="shared" si="10"/>
        <v>0</v>
      </c>
      <c r="J106" s="57">
        <f t="shared" si="11"/>
        <v>0</v>
      </c>
    </row>
    <row r="107" spans="1:10" x14ac:dyDescent="0.25">
      <c r="A107" s="59"/>
      <c r="B107" s="46"/>
      <c r="C107" s="44"/>
      <c r="D107" s="44"/>
      <c r="E107" s="45"/>
      <c r="F107" s="42">
        <v>18</v>
      </c>
      <c r="G107" s="56">
        <f t="shared" si="8"/>
        <v>0</v>
      </c>
      <c r="H107" s="56">
        <f t="shared" si="9"/>
        <v>0</v>
      </c>
      <c r="I107" s="56">
        <f t="shared" si="10"/>
        <v>0</v>
      </c>
      <c r="J107" s="57">
        <f t="shared" si="11"/>
        <v>0</v>
      </c>
    </row>
    <row r="108" spans="1:10" x14ac:dyDescent="0.25">
      <c r="A108" s="59"/>
      <c r="B108" s="46"/>
      <c r="C108" s="44"/>
      <c r="D108" s="44"/>
      <c r="E108" s="45"/>
      <c r="F108" s="42">
        <v>18</v>
      </c>
      <c r="G108" s="56">
        <f t="shared" si="8"/>
        <v>0</v>
      </c>
      <c r="H108" s="56">
        <f t="shared" si="9"/>
        <v>0</v>
      </c>
      <c r="I108" s="56">
        <f t="shared" si="10"/>
        <v>0</v>
      </c>
      <c r="J108" s="57">
        <f t="shared" si="11"/>
        <v>0</v>
      </c>
    </row>
    <row r="109" spans="1:10" x14ac:dyDescent="0.25">
      <c r="A109" s="59"/>
      <c r="B109" s="46"/>
      <c r="C109" s="44"/>
      <c r="D109" s="44"/>
      <c r="E109" s="45"/>
      <c r="F109" s="42">
        <v>18</v>
      </c>
      <c r="G109" s="56">
        <f t="shared" si="8"/>
        <v>0</v>
      </c>
      <c r="H109" s="56">
        <f t="shared" si="9"/>
        <v>0</v>
      </c>
      <c r="I109" s="56">
        <f t="shared" si="10"/>
        <v>0</v>
      </c>
      <c r="J109" s="57">
        <f t="shared" si="11"/>
        <v>0</v>
      </c>
    </row>
    <row r="110" spans="1:10" x14ac:dyDescent="0.25">
      <c r="A110" s="59"/>
      <c r="B110" s="46"/>
      <c r="C110" s="44"/>
      <c r="D110" s="44"/>
      <c r="E110" s="45"/>
      <c r="F110" s="42">
        <v>18</v>
      </c>
      <c r="G110" s="56">
        <f t="shared" si="8"/>
        <v>0</v>
      </c>
      <c r="H110" s="56">
        <f t="shared" si="9"/>
        <v>0</v>
      </c>
      <c r="I110" s="56">
        <f t="shared" si="10"/>
        <v>0</v>
      </c>
      <c r="J110" s="57">
        <f t="shared" si="11"/>
        <v>0</v>
      </c>
    </row>
    <row r="111" spans="1:10" x14ac:dyDescent="0.25">
      <c r="A111" s="59"/>
      <c r="B111" s="46"/>
      <c r="C111" s="44"/>
      <c r="D111" s="44"/>
      <c r="E111" s="45"/>
      <c r="F111" s="42">
        <v>18</v>
      </c>
      <c r="G111" s="56">
        <f t="shared" si="8"/>
        <v>0</v>
      </c>
      <c r="H111" s="56">
        <f t="shared" si="9"/>
        <v>0</v>
      </c>
      <c r="I111" s="56">
        <f t="shared" si="10"/>
        <v>0</v>
      </c>
      <c r="J111" s="57">
        <f t="shared" si="11"/>
        <v>0</v>
      </c>
    </row>
    <row r="112" spans="1:10" x14ac:dyDescent="0.25">
      <c r="A112" s="59"/>
      <c r="B112" s="46"/>
      <c r="C112" s="44"/>
      <c r="D112" s="44"/>
      <c r="E112" s="45"/>
      <c r="F112" s="42">
        <v>18</v>
      </c>
      <c r="G112" s="56">
        <f t="shared" si="8"/>
        <v>0</v>
      </c>
      <c r="H112" s="56">
        <f t="shared" si="9"/>
        <v>0</v>
      </c>
      <c r="I112" s="56">
        <f t="shared" si="10"/>
        <v>0</v>
      </c>
      <c r="J112" s="57">
        <f t="shared" si="11"/>
        <v>0</v>
      </c>
    </row>
    <row r="113" spans="1:10" x14ac:dyDescent="0.25">
      <c r="A113" s="59"/>
      <c r="B113" s="46"/>
      <c r="C113" s="44"/>
      <c r="D113" s="44"/>
      <c r="E113" s="45"/>
      <c r="F113" s="42">
        <v>18</v>
      </c>
      <c r="G113" s="56">
        <f t="shared" si="8"/>
        <v>0</v>
      </c>
      <c r="H113" s="56">
        <f t="shared" si="9"/>
        <v>0</v>
      </c>
      <c r="I113" s="56">
        <f t="shared" si="10"/>
        <v>0</v>
      </c>
      <c r="J113" s="57">
        <f t="shared" si="11"/>
        <v>0</v>
      </c>
    </row>
    <row r="114" spans="1:10" x14ac:dyDescent="0.25">
      <c r="A114" s="59"/>
      <c r="B114" s="46"/>
      <c r="C114" s="44"/>
      <c r="D114" s="44"/>
      <c r="E114" s="45"/>
      <c r="F114" s="42">
        <v>18</v>
      </c>
      <c r="G114" s="56">
        <f t="shared" si="8"/>
        <v>0</v>
      </c>
      <c r="H114" s="56">
        <f t="shared" si="9"/>
        <v>0</v>
      </c>
      <c r="I114" s="56">
        <f t="shared" si="10"/>
        <v>0</v>
      </c>
      <c r="J114" s="57">
        <f t="shared" si="11"/>
        <v>0</v>
      </c>
    </row>
    <row r="115" spans="1:10" x14ac:dyDescent="0.25">
      <c r="A115" s="59"/>
      <c r="B115" s="46"/>
      <c r="C115" s="44"/>
      <c r="D115" s="44"/>
      <c r="E115" s="45"/>
      <c r="F115" s="42">
        <v>18</v>
      </c>
      <c r="G115" s="56">
        <f t="shared" si="8"/>
        <v>0</v>
      </c>
      <c r="H115" s="56">
        <f t="shared" si="9"/>
        <v>0</v>
      </c>
      <c r="I115" s="56">
        <f t="shared" si="10"/>
        <v>0</v>
      </c>
      <c r="J115" s="57">
        <f t="shared" si="11"/>
        <v>0</v>
      </c>
    </row>
    <row r="116" spans="1:10" x14ac:dyDescent="0.25">
      <c r="A116" s="59"/>
      <c r="B116" s="46"/>
      <c r="C116" s="44"/>
      <c r="D116" s="44"/>
      <c r="E116" s="45"/>
      <c r="F116" s="42">
        <v>18</v>
      </c>
      <c r="G116" s="56">
        <f t="shared" si="8"/>
        <v>0</v>
      </c>
      <c r="H116" s="56">
        <f t="shared" si="9"/>
        <v>0</v>
      </c>
      <c r="I116" s="56">
        <f t="shared" si="10"/>
        <v>0</v>
      </c>
      <c r="J116" s="57">
        <f t="shared" si="11"/>
        <v>0</v>
      </c>
    </row>
    <row r="117" spans="1:10" x14ac:dyDescent="0.25">
      <c r="A117" s="59"/>
      <c r="B117" s="46"/>
      <c r="C117" s="44"/>
      <c r="D117" s="44"/>
      <c r="E117" s="45"/>
      <c r="F117" s="42">
        <v>18</v>
      </c>
      <c r="G117" s="56">
        <f t="shared" si="8"/>
        <v>0</v>
      </c>
      <c r="H117" s="56">
        <f t="shared" si="9"/>
        <v>0</v>
      </c>
      <c r="I117" s="56">
        <f t="shared" si="10"/>
        <v>0</v>
      </c>
      <c r="J117" s="57">
        <f t="shared" si="11"/>
        <v>0</v>
      </c>
    </row>
    <row r="118" spans="1:10" x14ac:dyDescent="0.25">
      <c r="A118" s="59"/>
      <c r="B118" s="46"/>
      <c r="C118" s="44"/>
      <c r="D118" s="44"/>
      <c r="E118" s="45"/>
      <c r="F118" s="42">
        <v>18</v>
      </c>
      <c r="G118" s="56">
        <f t="shared" si="8"/>
        <v>0</v>
      </c>
      <c r="H118" s="56">
        <f t="shared" si="9"/>
        <v>0</v>
      </c>
      <c r="I118" s="56">
        <f t="shared" si="10"/>
        <v>0</v>
      </c>
      <c r="J118" s="57">
        <f t="shared" si="11"/>
        <v>0</v>
      </c>
    </row>
    <row r="119" spans="1:10" x14ac:dyDescent="0.25">
      <c r="A119" s="59"/>
      <c r="B119" s="46"/>
      <c r="C119" s="44"/>
      <c r="D119" s="44"/>
      <c r="E119" s="45"/>
      <c r="F119" s="42">
        <v>18</v>
      </c>
      <c r="G119" s="56">
        <f t="shared" si="8"/>
        <v>0</v>
      </c>
      <c r="H119" s="56">
        <f t="shared" si="9"/>
        <v>0</v>
      </c>
      <c r="I119" s="56">
        <f t="shared" si="10"/>
        <v>0</v>
      </c>
      <c r="J119" s="57">
        <f t="shared" si="11"/>
        <v>0</v>
      </c>
    </row>
    <row r="120" spans="1:10" x14ac:dyDescent="0.25">
      <c r="A120" s="59"/>
      <c r="B120" s="46"/>
      <c r="C120" s="44"/>
      <c r="D120" s="44"/>
      <c r="E120" s="45"/>
      <c r="F120" s="42">
        <v>18</v>
      </c>
      <c r="G120" s="56">
        <f t="shared" si="8"/>
        <v>0</v>
      </c>
      <c r="H120" s="56">
        <f t="shared" si="9"/>
        <v>0</v>
      </c>
      <c r="I120" s="56">
        <f t="shared" si="10"/>
        <v>0</v>
      </c>
      <c r="J120" s="57">
        <f t="shared" si="11"/>
        <v>0</v>
      </c>
    </row>
    <row r="121" spans="1:10" x14ac:dyDescent="0.25">
      <c r="A121" s="59"/>
      <c r="B121" s="46"/>
      <c r="C121" s="44"/>
      <c r="D121" s="44"/>
      <c r="E121" s="45"/>
      <c r="F121" s="42">
        <v>18</v>
      </c>
      <c r="G121" s="56">
        <f t="shared" si="8"/>
        <v>0</v>
      </c>
      <c r="H121" s="56">
        <f t="shared" si="9"/>
        <v>0</v>
      </c>
      <c r="I121" s="56">
        <f t="shared" si="10"/>
        <v>0</v>
      </c>
      <c r="J121" s="57">
        <f t="shared" si="11"/>
        <v>0</v>
      </c>
    </row>
    <row r="122" spans="1:10" x14ac:dyDescent="0.25">
      <c r="A122" s="59"/>
      <c r="B122" s="46"/>
      <c r="C122" s="44"/>
      <c r="D122" s="44"/>
      <c r="E122" s="45"/>
      <c r="F122" s="42">
        <v>18</v>
      </c>
      <c r="G122" s="56">
        <f t="shared" si="8"/>
        <v>0</v>
      </c>
      <c r="H122" s="56">
        <f t="shared" si="9"/>
        <v>0</v>
      </c>
      <c r="I122" s="56">
        <f t="shared" si="10"/>
        <v>0</v>
      </c>
      <c r="J122" s="57">
        <f t="shared" si="11"/>
        <v>0</v>
      </c>
    </row>
    <row r="123" spans="1:10" x14ac:dyDescent="0.25">
      <c r="A123" s="59"/>
      <c r="B123" s="46"/>
      <c r="C123" s="44"/>
      <c r="D123" s="44"/>
      <c r="E123" s="45"/>
      <c r="F123" s="42">
        <v>18</v>
      </c>
      <c r="G123" s="56">
        <f t="shared" si="8"/>
        <v>0</v>
      </c>
      <c r="H123" s="56">
        <f t="shared" si="9"/>
        <v>0</v>
      </c>
      <c r="I123" s="56">
        <f t="shared" si="10"/>
        <v>0</v>
      </c>
      <c r="J123" s="57">
        <f t="shared" si="11"/>
        <v>0</v>
      </c>
    </row>
    <row r="124" spans="1:10" x14ac:dyDescent="0.25">
      <c r="A124" s="59"/>
      <c r="B124" s="46"/>
      <c r="C124" s="44"/>
      <c r="D124" s="44"/>
      <c r="E124" s="45"/>
      <c r="F124" s="42">
        <v>18</v>
      </c>
      <c r="G124" s="56">
        <f t="shared" si="8"/>
        <v>0</v>
      </c>
      <c r="H124" s="56">
        <f t="shared" si="9"/>
        <v>0</v>
      </c>
      <c r="I124" s="56">
        <f t="shared" si="10"/>
        <v>0</v>
      </c>
      <c r="J124" s="57">
        <f t="shared" si="11"/>
        <v>0</v>
      </c>
    </row>
    <row r="125" spans="1:10" x14ac:dyDescent="0.25">
      <c r="A125" s="59"/>
      <c r="B125" s="46"/>
      <c r="C125" s="44"/>
      <c r="D125" s="44"/>
      <c r="E125" s="45"/>
      <c r="F125" s="42">
        <v>18</v>
      </c>
      <c r="G125" s="56">
        <f t="shared" si="8"/>
        <v>0</v>
      </c>
      <c r="H125" s="56">
        <f t="shared" si="9"/>
        <v>0</v>
      </c>
      <c r="I125" s="56">
        <f t="shared" si="10"/>
        <v>0</v>
      </c>
      <c r="J125" s="57">
        <f t="shared" si="11"/>
        <v>0</v>
      </c>
    </row>
    <row r="126" spans="1:10" x14ac:dyDescent="0.25">
      <c r="A126" s="59"/>
      <c r="B126" s="46"/>
      <c r="C126" s="44"/>
      <c r="D126" s="44"/>
      <c r="E126" s="45"/>
      <c r="F126" s="42">
        <v>18</v>
      </c>
      <c r="G126" s="56">
        <f t="shared" si="8"/>
        <v>0</v>
      </c>
      <c r="H126" s="56">
        <f t="shared" si="9"/>
        <v>0</v>
      </c>
      <c r="I126" s="56">
        <f t="shared" si="10"/>
        <v>0</v>
      </c>
      <c r="J126" s="57">
        <f t="shared" si="11"/>
        <v>0</v>
      </c>
    </row>
    <row r="127" spans="1:10" x14ac:dyDescent="0.25">
      <c r="A127" s="59"/>
      <c r="B127" s="46"/>
      <c r="C127" s="44"/>
      <c r="D127" s="44"/>
      <c r="E127" s="45"/>
      <c r="F127" s="42">
        <v>18</v>
      </c>
      <c r="G127" s="56">
        <f t="shared" si="8"/>
        <v>0</v>
      </c>
      <c r="H127" s="56">
        <f t="shared" si="9"/>
        <v>0</v>
      </c>
      <c r="I127" s="56">
        <f t="shared" si="10"/>
        <v>0</v>
      </c>
      <c r="J127" s="57">
        <f t="shared" si="11"/>
        <v>0</v>
      </c>
    </row>
    <row r="128" spans="1:10" x14ac:dyDescent="0.25">
      <c r="A128" s="59"/>
      <c r="B128" s="46"/>
      <c r="C128" s="44"/>
      <c r="D128" s="44"/>
      <c r="E128" s="45"/>
      <c r="F128" s="42">
        <v>18</v>
      </c>
      <c r="G128" s="56">
        <f t="shared" si="8"/>
        <v>0</v>
      </c>
      <c r="H128" s="56">
        <f t="shared" si="9"/>
        <v>0</v>
      </c>
      <c r="I128" s="56">
        <f t="shared" si="10"/>
        <v>0</v>
      </c>
      <c r="J128" s="57">
        <f t="shared" si="11"/>
        <v>0</v>
      </c>
    </row>
    <row r="129" spans="1:10" x14ac:dyDescent="0.25">
      <c r="A129" s="59"/>
      <c r="B129" s="46"/>
      <c r="C129" s="44"/>
      <c r="D129" s="44"/>
      <c r="E129" s="45"/>
      <c r="F129" s="42">
        <v>18</v>
      </c>
      <c r="G129" s="56">
        <f t="shared" si="8"/>
        <v>0</v>
      </c>
      <c r="H129" s="56">
        <f t="shared" si="9"/>
        <v>0</v>
      </c>
      <c r="I129" s="56">
        <f t="shared" si="10"/>
        <v>0</v>
      </c>
      <c r="J129" s="57">
        <f t="shared" si="11"/>
        <v>0</v>
      </c>
    </row>
    <row r="130" spans="1:10" x14ac:dyDescent="0.25">
      <c r="A130" s="59"/>
      <c r="B130" s="46"/>
      <c r="C130" s="44"/>
      <c r="D130" s="44"/>
      <c r="E130" s="45"/>
      <c r="F130" s="42">
        <v>18</v>
      </c>
      <c r="G130" s="56">
        <f t="shared" si="8"/>
        <v>0</v>
      </c>
      <c r="H130" s="56">
        <f t="shared" si="9"/>
        <v>0</v>
      </c>
      <c r="I130" s="56">
        <f t="shared" si="10"/>
        <v>0</v>
      </c>
      <c r="J130" s="57">
        <f t="shared" si="11"/>
        <v>0</v>
      </c>
    </row>
    <row r="131" spans="1:10" x14ac:dyDescent="0.25">
      <c r="A131" s="59"/>
      <c r="B131" s="46"/>
      <c r="C131" s="44"/>
      <c r="D131" s="44"/>
      <c r="E131" s="45"/>
      <c r="F131" s="42">
        <v>18</v>
      </c>
      <c r="G131" s="56">
        <f t="shared" si="8"/>
        <v>0</v>
      </c>
      <c r="H131" s="56">
        <f t="shared" si="9"/>
        <v>0</v>
      </c>
      <c r="I131" s="56">
        <f t="shared" si="10"/>
        <v>0</v>
      </c>
      <c r="J131" s="57">
        <f t="shared" si="11"/>
        <v>0</v>
      </c>
    </row>
    <row r="132" spans="1:10" x14ac:dyDescent="0.25">
      <c r="A132" s="59"/>
      <c r="B132" s="46"/>
      <c r="C132" s="44"/>
      <c r="D132" s="44"/>
      <c r="E132" s="45"/>
      <c r="F132" s="42">
        <v>18</v>
      </c>
      <c r="G132" s="56">
        <f t="shared" si="8"/>
        <v>0</v>
      </c>
      <c r="H132" s="56">
        <f t="shared" si="9"/>
        <v>0</v>
      </c>
      <c r="I132" s="56">
        <f t="shared" si="10"/>
        <v>0</v>
      </c>
      <c r="J132" s="57">
        <f t="shared" si="11"/>
        <v>0</v>
      </c>
    </row>
    <row r="133" spans="1:10" x14ac:dyDescent="0.25">
      <c r="A133" s="59"/>
      <c r="B133" s="46"/>
      <c r="C133" s="44"/>
      <c r="D133" s="44"/>
      <c r="E133" s="45"/>
      <c r="F133" s="42">
        <v>18</v>
      </c>
      <c r="G133" s="56">
        <f t="shared" si="8"/>
        <v>0</v>
      </c>
      <c r="H133" s="56">
        <f t="shared" si="9"/>
        <v>0</v>
      </c>
      <c r="I133" s="56">
        <f t="shared" si="10"/>
        <v>0</v>
      </c>
      <c r="J133" s="57">
        <f t="shared" si="11"/>
        <v>0</v>
      </c>
    </row>
    <row r="134" spans="1:10" x14ac:dyDescent="0.25">
      <c r="A134" s="59"/>
      <c r="B134" s="46"/>
      <c r="C134" s="44"/>
      <c r="D134" s="44"/>
      <c r="E134" s="45"/>
      <c r="F134" s="42">
        <v>18</v>
      </c>
      <c r="G134" s="56">
        <f t="shared" ref="G134:G159" si="12">ROUND((E134*F134%)/2,)</f>
        <v>0</v>
      </c>
      <c r="H134" s="56">
        <f t="shared" ref="H134:H159" si="13">G134</f>
        <v>0</v>
      </c>
      <c r="I134" s="56">
        <f t="shared" ref="I134:I159" si="14">G134+H134</f>
        <v>0</v>
      </c>
      <c r="J134" s="57">
        <f t="shared" ref="J134:J159" si="15">E134+I134</f>
        <v>0</v>
      </c>
    </row>
    <row r="135" spans="1:10" x14ac:dyDescent="0.25">
      <c r="A135" s="59"/>
      <c r="B135" s="46"/>
      <c r="C135" s="44"/>
      <c r="D135" s="44"/>
      <c r="E135" s="45"/>
      <c r="F135" s="42">
        <v>18</v>
      </c>
      <c r="G135" s="56">
        <f t="shared" si="12"/>
        <v>0</v>
      </c>
      <c r="H135" s="56">
        <f t="shared" si="13"/>
        <v>0</v>
      </c>
      <c r="I135" s="56">
        <f t="shared" si="14"/>
        <v>0</v>
      </c>
      <c r="J135" s="57">
        <f t="shared" si="15"/>
        <v>0</v>
      </c>
    </row>
    <row r="136" spans="1:10" x14ac:dyDescent="0.25">
      <c r="A136" s="59"/>
      <c r="B136" s="46"/>
      <c r="C136" s="44"/>
      <c r="D136" s="44"/>
      <c r="E136" s="45"/>
      <c r="F136" s="42">
        <v>18</v>
      </c>
      <c r="G136" s="56">
        <f t="shared" si="12"/>
        <v>0</v>
      </c>
      <c r="H136" s="56">
        <f t="shared" si="13"/>
        <v>0</v>
      </c>
      <c r="I136" s="56">
        <f t="shared" si="14"/>
        <v>0</v>
      </c>
      <c r="J136" s="57">
        <f t="shared" si="15"/>
        <v>0</v>
      </c>
    </row>
    <row r="137" spans="1:10" x14ac:dyDescent="0.25">
      <c r="A137" s="59"/>
      <c r="B137" s="46"/>
      <c r="C137" s="44"/>
      <c r="D137" s="44"/>
      <c r="E137" s="45"/>
      <c r="F137" s="42">
        <v>18</v>
      </c>
      <c r="G137" s="56">
        <f t="shared" si="12"/>
        <v>0</v>
      </c>
      <c r="H137" s="56">
        <f t="shared" si="13"/>
        <v>0</v>
      </c>
      <c r="I137" s="56">
        <f t="shared" si="14"/>
        <v>0</v>
      </c>
      <c r="J137" s="57">
        <f t="shared" si="15"/>
        <v>0</v>
      </c>
    </row>
    <row r="138" spans="1:10" x14ac:dyDescent="0.25">
      <c r="A138" s="59"/>
      <c r="B138" s="46"/>
      <c r="C138" s="44"/>
      <c r="D138" s="44"/>
      <c r="E138" s="45"/>
      <c r="F138" s="42">
        <v>18</v>
      </c>
      <c r="G138" s="56">
        <f t="shared" si="12"/>
        <v>0</v>
      </c>
      <c r="H138" s="56">
        <f t="shared" si="13"/>
        <v>0</v>
      </c>
      <c r="I138" s="56">
        <f t="shared" si="14"/>
        <v>0</v>
      </c>
      <c r="J138" s="57">
        <f t="shared" si="15"/>
        <v>0</v>
      </c>
    </row>
    <row r="139" spans="1:10" x14ac:dyDescent="0.25">
      <c r="A139" s="59"/>
      <c r="B139" s="46"/>
      <c r="C139" s="44"/>
      <c r="D139" s="44"/>
      <c r="E139" s="45"/>
      <c r="F139" s="42">
        <v>18</v>
      </c>
      <c r="G139" s="56">
        <f t="shared" si="12"/>
        <v>0</v>
      </c>
      <c r="H139" s="56">
        <f t="shared" si="13"/>
        <v>0</v>
      </c>
      <c r="I139" s="56">
        <f t="shared" si="14"/>
        <v>0</v>
      </c>
      <c r="J139" s="57">
        <f t="shared" si="15"/>
        <v>0</v>
      </c>
    </row>
    <row r="140" spans="1:10" x14ac:dyDescent="0.25">
      <c r="A140" s="59"/>
      <c r="B140" s="46"/>
      <c r="C140" s="44"/>
      <c r="D140" s="44"/>
      <c r="E140" s="45"/>
      <c r="F140" s="42">
        <v>18</v>
      </c>
      <c r="G140" s="56">
        <f t="shared" si="12"/>
        <v>0</v>
      </c>
      <c r="H140" s="56">
        <f t="shared" si="13"/>
        <v>0</v>
      </c>
      <c r="I140" s="56">
        <f t="shared" si="14"/>
        <v>0</v>
      </c>
      <c r="J140" s="57">
        <f t="shared" si="15"/>
        <v>0</v>
      </c>
    </row>
    <row r="141" spans="1:10" x14ac:dyDescent="0.25">
      <c r="A141" s="59"/>
      <c r="B141" s="46"/>
      <c r="C141" s="44"/>
      <c r="D141" s="44"/>
      <c r="E141" s="45"/>
      <c r="F141" s="42">
        <v>18</v>
      </c>
      <c r="G141" s="56">
        <f t="shared" si="12"/>
        <v>0</v>
      </c>
      <c r="H141" s="56">
        <f t="shared" si="13"/>
        <v>0</v>
      </c>
      <c r="I141" s="56">
        <f t="shared" si="14"/>
        <v>0</v>
      </c>
      <c r="J141" s="57">
        <f t="shared" si="15"/>
        <v>0</v>
      </c>
    </row>
    <row r="142" spans="1:10" x14ac:dyDescent="0.25">
      <c r="A142" s="59"/>
      <c r="B142" s="46"/>
      <c r="C142" s="44"/>
      <c r="D142" s="44"/>
      <c r="E142" s="45"/>
      <c r="F142" s="42">
        <v>18</v>
      </c>
      <c r="G142" s="56">
        <f t="shared" si="12"/>
        <v>0</v>
      </c>
      <c r="H142" s="56">
        <f t="shared" si="13"/>
        <v>0</v>
      </c>
      <c r="I142" s="56">
        <f t="shared" si="14"/>
        <v>0</v>
      </c>
      <c r="J142" s="57">
        <f t="shared" si="15"/>
        <v>0</v>
      </c>
    </row>
    <row r="143" spans="1:10" x14ac:dyDescent="0.25">
      <c r="A143" s="59"/>
      <c r="B143" s="46"/>
      <c r="C143" s="44"/>
      <c r="D143" s="44"/>
      <c r="E143" s="45"/>
      <c r="F143" s="42">
        <v>18</v>
      </c>
      <c r="G143" s="56">
        <f t="shared" si="12"/>
        <v>0</v>
      </c>
      <c r="H143" s="56">
        <f t="shared" si="13"/>
        <v>0</v>
      </c>
      <c r="I143" s="56">
        <f t="shared" si="14"/>
        <v>0</v>
      </c>
      <c r="J143" s="57">
        <f t="shared" si="15"/>
        <v>0</v>
      </c>
    </row>
    <row r="144" spans="1:10" x14ac:dyDescent="0.25">
      <c r="A144" s="59"/>
      <c r="B144" s="46"/>
      <c r="C144" s="44"/>
      <c r="D144" s="44"/>
      <c r="E144" s="45"/>
      <c r="F144" s="42">
        <v>18</v>
      </c>
      <c r="G144" s="56">
        <f t="shared" si="12"/>
        <v>0</v>
      </c>
      <c r="H144" s="56">
        <f t="shared" si="13"/>
        <v>0</v>
      </c>
      <c r="I144" s="56">
        <f t="shared" si="14"/>
        <v>0</v>
      </c>
      <c r="J144" s="57">
        <f t="shared" si="15"/>
        <v>0</v>
      </c>
    </row>
    <row r="145" spans="1:10" x14ac:dyDescent="0.25">
      <c r="A145" s="59"/>
      <c r="B145" s="46"/>
      <c r="C145" s="44"/>
      <c r="D145" s="44"/>
      <c r="E145" s="45"/>
      <c r="F145" s="42">
        <v>18</v>
      </c>
      <c r="G145" s="56">
        <f t="shared" si="12"/>
        <v>0</v>
      </c>
      <c r="H145" s="56">
        <f t="shared" si="13"/>
        <v>0</v>
      </c>
      <c r="I145" s="56">
        <f t="shared" si="14"/>
        <v>0</v>
      </c>
      <c r="J145" s="57">
        <f t="shared" si="15"/>
        <v>0</v>
      </c>
    </row>
    <row r="146" spans="1:10" x14ac:dyDescent="0.25">
      <c r="A146" s="59"/>
      <c r="B146" s="46"/>
      <c r="C146" s="44"/>
      <c r="D146" s="44"/>
      <c r="E146" s="45"/>
      <c r="F146" s="42">
        <v>18</v>
      </c>
      <c r="G146" s="56">
        <f t="shared" si="12"/>
        <v>0</v>
      </c>
      <c r="H146" s="56">
        <f t="shared" si="13"/>
        <v>0</v>
      </c>
      <c r="I146" s="56">
        <f t="shared" si="14"/>
        <v>0</v>
      </c>
      <c r="J146" s="57">
        <f t="shared" si="15"/>
        <v>0</v>
      </c>
    </row>
    <row r="147" spans="1:10" x14ac:dyDescent="0.25">
      <c r="A147" s="59"/>
      <c r="B147" s="46"/>
      <c r="C147" s="44"/>
      <c r="D147" s="44"/>
      <c r="E147" s="45"/>
      <c r="F147" s="42">
        <v>18</v>
      </c>
      <c r="G147" s="56">
        <f t="shared" si="12"/>
        <v>0</v>
      </c>
      <c r="H147" s="56">
        <f t="shared" si="13"/>
        <v>0</v>
      </c>
      <c r="I147" s="56">
        <f t="shared" si="14"/>
        <v>0</v>
      </c>
      <c r="J147" s="57">
        <f t="shared" si="15"/>
        <v>0</v>
      </c>
    </row>
    <row r="148" spans="1:10" x14ac:dyDescent="0.25">
      <c r="A148" s="59"/>
      <c r="B148" s="46"/>
      <c r="C148" s="44"/>
      <c r="D148" s="44"/>
      <c r="E148" s="45"/>
      <c r="F148" s="42">
        <v>18</v>
      </c>
      <c r="G148" s="56">
        <f t="shared" si="12"/>
        <v>0</v>
      </c>
      <c r="H148" s="56">
        <f t="shared" si="13"/>
        <v>0</v>
      </c>
      <c r="I148" s="56">
        <f t="shared" si="14"/>
        <v>0</v>
      </c>
      <c r="J148" s="57">
        <f t="shared" si="15"/>
        <v>0</v>
      </c>
    </row>
    <row r="149" spans="1:10" x14ac:dyDescent="0.25">
      <c r="A149" s="59"/>
      <c r="B149" s="46"/>
      <c r="C149" s="44"/>
      <c r="D149" s="44"/>
      <c r="E149" s="45"/>
      <c r="F149" s="42">
        <v>18</v>
      </c>
      <c r="G149" s="56">
        <f t="shared" si="12"/>
        <v>0</v>
      </c>
      <c r="H149" s="56">
        <f t="shared" si="13"/>
        <v>0</v>
      </c>
      <c r="I149" s="56">
        <f t="shared" si="14"/>
        <v>0</v>
      </c>
      <c r="J149" s="57">
        <f t="shared" si="15"/>
        <v>0</v>
      </c>
    </row>
    <row r="150" spans="1:10" x14ac:dyDescent="0.25">
      <c r="A150" s="59"/>
      <c r="B150" s="46"/>
      <c r="C150" s="44"/>
      <c r="D150" s="44"/>
      <c r="E150" s="45"/>
      <c r="F150" s="42">
        <v>18</v>
      </c>
      <c r="G150" s="56">
        <f t="shared" si="12"/>
        <v>0</v>
      </c>
      <c r="H150" s="56">
        <f t="shared" si="13"/>
        <v>0</v>
      </c>
      <c r="I150" s="56">
        <f t="shared" si="14"/>
        <v>0</v>
      </c>
      <c r="J150" s="57">
        <f t="shared" si="15"/>
        <v>0</v>
      </c>
    </row>
    <row r="151" spans="1:10" x14ac:dyDescent="0.25">
      <c r="A151" s="59"/>
      <c r="B151" s="46"/>
      <c r="C151" s="44"/>
      <c r="D151" s="44"/>
      <c r="E151" s="45"/>
      <c r="F151" s="42">
        <v>18</v>
      </c>
      <c r="G151" s="56">
        <f t="shared" si="12"/>
        <v>0</v>
      </c>
      <c r="H151" s="56">
        <f t="shared" si="13"/>
        <v>0</v>
      </c>
      <c r="I151" s="56">
        <f t="shared" si="14"/>
        <v>0</v>
      </c>
      <c r="J151" s="57">
        <f t="shared" si="15"/>
        <v>0</v>
      </c>
    </row>
    <row r="152" spans="1:10" x14ac:dyDescent="0.25">
      <c r="A152" s="59"/>
      <c r="B152" s="46"/>
      <c r="C152" s="44"/>
      <c r="D152" s="44"/>
      <c r="E152" s="45"/>
      <c r="F152" s="42">
        <v>18</v>
      </c>
      <c r="G152" s="56">
        <f t="shared" si="12"/>
        <v>0</v>
      </c>
      <c r="H152" s="56">
        <f t="shared" si="13"/>
        <v>0</v>
      </c>
      <c r="I152" s="56">
        <f t="shared" si="14"/>
        <v>0</v>
      </c>
      <c r="J152" s="57">
        <f t="shared" si="15"/>
        <v>0</v>
      </c>
    </row>
    <row r="153" spans="1:10" x14ac:dyDescent="0.25">
      <c r="A153" s="59"/>
      <c r="B153" s="46"/>
      <c r="C153" s="44"/>
      <c r="D153" s="44"/>
      <c r="E153" s="45"/>
      <c r="F153" s="42">
        <v>18</v>
      </c>
      <c r="G153" s="56">
        <f t="shared" si="12"/>
        <v>0</v>
      </c>
      <c r="H153" s="56">
        <f t="shared" si="13"/>
        <v>0</v>
      </c>
      <c r="I153" s="56">
        <f t="shared" si="14"/>
        <v>0</v>
      </c>
      <c r="J153" s="57">
        <f t="shared" si="15"/>
        <v>0</v>
      </c>
    </row>
    <row r="154" spans="1:10" x14ac:dyDescent="0.25">
      <c r="A154" s="59"/>
      <c r="B154" s="46"/>
      <c r="C154" s="44"/>
      <c r="D154" s="44"/>
      <c r="E154" s="45"/>
      <c r="F154" s="42">
        <v>18</v>
      </c>
      <c r="G154" s="56">
        <f t="shared" si="12"/>
        <v>0</v>
      </c>
      <c r="H154" s="56">
        <f t="shared" si="13"/>
        <v>0</v>
      </c>
      <c r="I154" s="56">
        <f t="shared" si="14"/>
        <v>0</v>
      </c>
      <c r="J154" s="57">
        <f t="shared" si="15"/>
        <v>0</v>
      </c>
    </row>
    <row r="155" spans="1:10" x14ac:dyDescent="0.25">
      <c r="A155" s="59"/>
      <c r="B155" s="46"/>
      <c r="C155" s="44"/>
      <c r="D155" s="44"/>
      <c r="E155" s="45"/>
      <c r="F155" s="42">
        <v>18</v>
      </c>
      <c r="G155" s="56">
        <f t="shared" si="12"/>
        <v>0</v>
      </c>
      <c r="H155" s="56">
        <f t="shared" si="13"/>
        <v>0</v>
      </c>
      <c r="I155" s="56">
        <f t="shared" si="14"/>
        <v>0</v>
      </c>
      <c r="J155" s="57">
        <f t="shared" si="15"/>
        <v>0</v>
      </c>
    </row>
    <row r="156" spans="1:10" x14ac:dyDescent="0.25">
      <c r="A156" s="59"/>
      <c r="B156" s="46"/>
      <c r="C156" s="44"/>
      <c r="D156" s="44"/>
      <c r="E156" s="45"/>
      <c r="F156" s="42">
        <v>18</v>
      </c>
      <c r="G156" s="56">
        <f t="shared" si="12"/>
        <v>0</v>
      </c>
      <c r="H156" s="56">
        <f t="shared" si="13"/>
        <v>0</v>
      </c>
      <c r="I156" s="56">
        <f t="shared" si="14"/>
        <v>0</v>
      </c>
      <c r="J156" s="57">
        <f t="shared" si="15"/>
        <v>0</v>
      </c>
    </row>
    <row r="157" spans="1:10" x14ac:dyDescent="0.25">
      <c r="A157" s="59"/>
      <c r="B157" s="46"/>
      <c r="C157" s="44"/>
      <c r="D157" s="44"/>
      <c r="E157" s="45"/>
      <c r="F157" s="42">
        <v>18</v>
      </c>
      <c r="G157" s="56">
        <f t="shared" si="12"/>
        <v>0</v>
      </c>
      <c r="H157" s="56">
        <f t="shared" si="13"/>
        <v>0</v>
      </c>
      <c r="I157" s="56">
        <f t="shared" si="14"/>
        <v>0</v>
      </c>
      <c r="J157" s="57">
        <f t="shared" si="15"/>
        <v>0</v>
      </c>
    </row>
    <row r="158" spans="1:10" x14ac:dyDescent="0.25">
      <c r="A158" s="59"/>
      <c r="B158" s="46"/>
      <c r="C158" s="44"/>
      <c r="D158" s="44"/>
      <c r="E158" s="45"/>
      <c r="F158" s="42">
        <v>18</v>
      </c>
      <c r="G158" s="56">
        <f t="shared" si="12"/>
        <v>0</v>
      </c>
      <c r="H158" s="56">
        <f t="shared" si="13"/>
        <v>0</v>
      </c>
      <c r="I158" s="56">
        <f t="shared" si="14"/>
        <v>0</v>
      </c>
      <c r="J158" s="57">
        <f t="shared" si="15"/>
        <v>0</v>
      </c>
    </row>
    <row r="159" spans="1:10" x14ac:dyDescent="0.25">
      <c r="A159" s="59"/>
      <c r="B159" s="46"/>
      <c r="C159" s="44"/>
      <c r="D159" s="44"/>
      <c r="E159" s="45"/>
      <c r="F159" s="42">
        <v>18</v>
      </c>
      <c r="G159" s="56">
        <f t="shared" si="12"/>
        <v>0</v>
      </c>
      <c r="H159" s="56">
        <f t="shared" si="13"/>
        <v>0</v>
      </c>
      <c r="I159" s="56">
        <f t="shared" si="14"/>
        <v>0</v>
      </c>
      <c r="J159" s="57">
        <f t="shared" si="15"/>
        <v>0</v>
      </c>
    </row>
  </sheetData>
  <dataValidations count="4">
    <dataValidation type="custom" operator="lessThanOrEqual" allowBlank="1" showInputMessage="1" showErrorMessage="1" error="Please enter alphanumeric value of length less than or equal to 25.Do not enter any special character except . , - / and SPACE." sqref="D2:D159">
      <formula1>AD2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159">
      <formula1>AF2</formula1>
    </dataValidation>
    <dataValidation type="custom" allowBlank="1" showInputMessage="1" showErrorMessage="1" error="Please enter Numeric value having length less than or equal to 16 including decimal points. Do not enter Special characters." sqref="F2:F159">
      <formula1>AG2</formula1>
    </dataValidation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159">
      <formula1>500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9"/>
  <sheetViews>
    <sheetView workbookViewId="0">
      <selection activeCell="A12" sqref="A12:B12"/>
    </sheetView>
  </sheetViews>
  <sheetFormatPr defaultRowHeight="15" x14ac:dyDescent="0.25"/>
  <cols>
    <col min="1" max="1" width="18" customWidth="1"/>
    <col min="2" max="2" width="40.28515625" customWidth="1"/>
    <col min="3" max="3" width="7.140625" customWidth="1"/>
    <col min="4" max="4" width="10.5703125" customWidth="1"/>
    <col min="5" max="5" width="11" customWidth="1"/>
    <col min="6" max="6" width="8.140625" customWidth="1"/>
    <col min="7" max="7" width="10.5703125" customWidth="1"/>
    <col min="8" max="8" width="10.140625" customWidth="1"/>
    <col min="9" max="9" width="10.5703125" customWidth="1"/>
    <col min="10" max="10" width="13.8554687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114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/>
      <c r="F3" s="42">
        <v>18</v>
      </c>
      <c r="G3" s="56">
        <f t="shared" ref="G3:G5" si="0">ROUND((E3*F3%)/2,)</f>
        <v>0</v>
      </c>
      <c r="H3" s="56">
        <f t="shared" ref="H3:H5" si="1">G3</f>
        <v>0</v>
      </c>
      <c r="I3" s="56">
        <f t="shared" ref="I3:I5" si="2">G3+H3</f>
        <v>0</v>
      </c>
      <c r="J3" s="57">
        <f t="shared" ref="J3:J5" si="3">E3+I3</f>
        <v>0</v>
      </c>
    </row>
    <row r="4" spans="1:10" x14ac:dyDescent="0.25">
      <c r="A4" s="59" t="s">
        <v>306</v>
      </c>
      <c r="B4" s="46" t="s">
        <v>124</v>
      </c>
      <c r="C4" s="44" t="s">
        <v>333</v>
      </c>
      <c r="D4" s="44" t="s">
        <v>334</v>
      </c>
      <c r="E4" s="45">
        <v>3624</v>
      </c>
      <c r="F4" s="42">
        <v>18</v>
      </c>
      <c r="G4" s="56">
        <f t="shared" si="0"/>
        <v>326</v>
      </c>
      <c r="H4" s="56">
        <f t="shared" si="1"/>
        <v>326</v>
      </c>
      <c r="I4" s="56">
        <f t="shared" si="2"/>
        <v>652</v>
      </c>
      <c r="J4" s="57">
        <f t="shared" si="3"/>
        <v>4276</v>
      </c>
    </row>
    <row r="5" spans="1:10" x14ac:dyDescent="0.25">
      <c r="A5" s="59" t="s">
        <v>127</v>
      </c>
      <c r="B5" s="46" t="s">
        <v>128</v>
      </c>
      <c r="C5" s="44" t="s">
        <v>335</v>
      </c>
      <c r="D5" s="44" t="s">
        <v>336</v>
      </c>
      <c r="E5" s="45">
        <v>250</v>
      </c>
      <c r="F5" s="42">
        <v>18</v>
      </c>
      <c r="G5" s="56">
        <f t="shared" si="0"/>
        <v>23</v>
      </c>
      <c r="H5" s="56">
        <f t="shared" si="1"/>
        <v>23</v>
      </c>
      <c r="I5" s="56">
        <f t="shared" si="2"/>
        <v>46</v>
      </c>
      <c r="J5" s="57">
        <f t="shared" si="3"/>
        <v>296</v>
      </c>
    </row>
    <row r="6" spans="1:10" x14ac:dyDescent="0.25">
      <c r="A6" s="59" t="s">
        <v>127</v>
      </c>
      <c r="B6" s="46" t="s">
        <v>128</v>
      </c>
      <c r="C6" s="44" t="s">
        <v>337</v>
      </c>
      <c r="D6" s="44" t="s">
        <v>336</v>
      </c>
      <c r="E6" s="45">
        <v>1700</v>
      </c>
      <c r="F6" s="42">
        <v>18</v>
      </c>
      <c r="G6" s="56">
        <f t="shared" ref="G6" si="4">ROUND((E6*F6%)/2,)</f>
        <v>153</v>
      </c>
      <c r="H6" s="56">
        <f t="shared" ref="H6" si="5">G6</f>
        <v>153</v>
      </c>
      <c r="I6" s="56">
        <f t="shared" ref="I6" si="6">G6+H6</f>
        <v>306</v>
      </c>
      <c r="J6" s="57">
        <f t="shared" ref="J6" si="7">E6+I6</f>
        <v>2006</v>
      </c>
    </row>
    <row r="7" spans="1:10" x14ac:dyDescent="0.25">
      <c r="A7" s="59" t="s">
        <v>127</v>
      </c>
      <c r="B7" s="46" t="s">
        <v>128</v>
      </c>
      <c r="C7" s="44" t="s">
        <v>338</v>
      </c>
      <c r="D7" s="44" t="s">
        <v>336</v>
      </c>
      <c r="E7" s="45">
        <v>1000</v>
      </c>
      <c r="F7" s="42">
        <v>18</v>
      </c>
      <c r="G7" s="56">
        <f t="shared" ref="G7:G70" si="8">ROUND((E7*F7%)/2,)</f>
        <v>90</v>
      </c>
      <c r="H7" s="56">
        <f t="shared" ref="H7:H70" si="9">G7</f>
        <v>90</v>
      </c>
      <c r="I7" s="56">
        <f t="shared" ref="I7:I70" si="10">G7+H7</f>
        <v>180</v>
      </c>
      <c r="J7" s="57">
        <f t="shared" ref="J7:J70" si="11">E7+I7</f>
        <v>1180</v>
      </c>
    </row>
    <row r="8" spans="1:10" x14ac:dyDescent="0.25">
      <c r="A8" s="59" t="s">
        <v>127</v>
      </c>
      <c r="B8" s="46" t="s">
        <v>128</v>
      </c>
      <c r="C8" s="44" t="s">
        <v>339</v>
      </c>
      <c r="D8" s="44" t="s">
        <v>336</v>
      </c>
      <c r="E8" s="45">
        <v>6100</v>
      </c>
      <c r="F8" s="42">
        <v>18</v>
      </c>
      <c r="G8" s="56">
        <f t="shared" si="8"/>
        <v>549</v>
      </c>
      <c r="H8" s="56">
        <f t="shared" si="9"/>
        <v>549</v>
      </c>
      <c r="I8" s="56">
        <f t="shared" si="10"/>
        <v>1098</v>
      </c>
      <c r="J8" s="57">
        <f t="shared" si="11"/>
        <v>7198</v>
      </c>
    </row>
    <row r="9" spans="1:10" x14ac:dyDescent="0.25">
      <c r="A9" s="59" t="s">
        <v>306</v>
      </c>
      <c r="B9" s="46" t="s">
        <v>124</v>
      </c>
      <c r="C9" s="44" t="s">
        <v>340</v>
      </c>
      <c r="D9" s="44" t="s">
        <v>370</v>
      </c>
      <c r="E9" s="45">
        <v>1476</v>
      </c>
      <c r="F9" s="42">
        <v>18</v>
      </c>
      <c r="G9" s="56">
        <f t="shared" si="8"/>
        <v>133</v>
      </c>
      <c r="H9" s="56">
        <f t="shared" si="9"/>
        <v>133</v>
      </c>
      <c r="I9" s="56">
        <f t="shared" si="10"/>
        <v>266</v>
      </c>
      <c r="J9" s="57">
        <f t="shared" si="11"/>
        <v>1742</v>
      </c>
    </row>
    <row r="10" spans="1:10" x14ac:dyDescent="0.25">
      <c r="A10" s="59" t="s">
        <v>306</v>
      </c>
      <c r="B10" s="46" t="s">
        <v>124</v>
      </c>
      <c r="C10" s="44" t="s">
        <v>341</v>
      </c>
      <c r="D10" s="44" t="s">
        <v>371</v>
      </c>
      <c r="E10" s="45">
        <v>3180</v>
      </c>
      <c r="F10" s="42">
        <v>18</v>
      </c>
      <c r="G10" s="56">
        <f t="shared" si="8"/>
        <v>286</v>
      </c>
      <c r="H10" s="56">
        <f t="shared" si="9"/>
        <v>286</v>
      </c>
      <c r="I10" s="56">
        <f t="shared" si="10"/>
        <v>572</v>
      </c>
      <c r="J10" s="57">
        <f t="shared" si="11"/>
        <v>3752</v>
      </c>
    </row>
    <row r="11" spans="1:10" x14ac:dyDescent="0.25">
      <c r="A11" s="59" t="s">
        <v>306</v>
      </c>
      <c r="B11" s="46" t="s">
        <v>124</v>
      </c>
      <c r="C11" s="44" t="s">
        <v>342</v>
      </c>
      <c r="D11" s="44" t="s">
        <v>372</v>
      </c>
      <c r="E11" s="45">
        <v>5140</v>
      </c>
      <c r="F11" s="42">
        <v>18</v>
      </c>
      <c r="G11" s="56">
        <f t="shared" si="8"/>
        <v>463</v>
      </c>
      <c r="H11" s="56">
        <f t="shared" si="9"/>
        <v>463</v>
      </c>
      <c r="I11" s="56">
        <f t="shared" si="10"/>
        <v>926</v>
      </c>
      <c r="J11" s="57">
        <f t="shared" si="11"/>
        <v>6066</v>
      </c>
    </row>
    <row r="12" spans="1:10" x14ac:dyDescent="0.25">
      <c r="A12" s="59" t="s">
        <v>135</v>
      </c>
      <c r="B12" s="46" t="s">
        <v>136</v>
      </c>
      <c r="C12" s="44" t="s">
        <v>343</v>
      </c>
      <c r="D12" s="44" t="s">
        <v>372</v>
      </c>
      <c r="E12" s="45">
        <v>2052</v>
      </c>
      <c r="F12" s="42">
        <v>18</v>
      </c>
      <c r="G12" s="56">
        <f t="shared" si="8"/>
        <v>185</v>
      </c>
      <c r="H12" s="56">
        <f t="shared" si="9"/>
        <v>185</v>
      </c>
      <c r="I12" s="56">
        <f t="shared" si="10"/>
        <v>370</v>
      </c>
      <c r="J12" s="57">
        <f t="shared" si="11"/>
        <v>2422</v>
      </c>
    </row>
    <row r="13" spans="1:10" x14ac:dyDescent="0.25">
      <c r="A13" s="59" t="s">
        <v>306</v>
      </c>
      <c r="B13" s="46" t="s">
        <v>124</v>
      </c>
      <c r="C13" s="44" t="s">
        <v>344</v>
      </c>
      <c r="D13" s="44" t="s">
        <v>373</v>
      </c>
      <c r="E13" s="45">
        <v>2360</v>
      </c>
      <c r="F13" s="42">
        <v>18</v>
      </c>
      <c r="G13" s="56">
        <f t="shared" si="8"/>
        <v>212</v>
      </c>
      <c r="H13" s="56">
        <f t="shared" si="9"/>
        <v>212</v>
      </c>
      <c r="I13" s="56">
        <f t="shared" si="10"/>
        <v>424</v>
      </c>
      <c r="J13" s="57">
        <f t="shared" si="11"/>
        <v>2784</v>
      </c>
    </row>
    <row r="14" spans="1:10" x14ac:dyDescent="0.25">
      <c r="A14" s="59" t="s">
        <v>135</v>
      </c>
      <c r="B14" s="46" t="s">
        <v>136</v>
      </c>
      <c r="C14" s="44" t="s">
        <v>345</v>
      </c>
      <c r="D14" s="44" t="s">
        <v>374</v>
      </c>
      <c r="E14" s="45">
        <v>6834</v>
      </c>
      <c r="F14" s="42">
        <v>18</v>
      </c>
      <c r="G14" s="56">
        <f t="shared" si="8"/>
        <v>615</v>
      </c>
      <c r="H14" s="56">
        <f t="shared" si="9"/>
        <v>615</v>
      </c>
      <c r="I14" s="56">
        <f t="shared" si="10"/>
        <v>1230</v>
      </c>
      <c r="J14" s="57">
        <f t="shared" si="11"/>
        <v>8064</v>
      </c>
    </row>
    <row r="15" spans="1:10" x14ac:dyDescent="0.25">
      <c r="A15" s="59" t="s">
        <v>306</v>
      </c>
      <c r="B15" s="46" t="s">
        <v>124</v>
      </c>
      <c r="C15" s="44" t="s">
        <v>346</v>
      </c>
      <c r="D15" s="44" t="s">
        <v>375</v>
      </c>
      <c r="E15" s="45">
        <v>2400</v>
      </c>
      <c r="F15" s="42">
        <v>18</v>
      </c>
      <c r="G15" s="56">
        <f t="shared" si="8"/>
        <v>216</v>
      </c>
      <c r="H15" s="56">
        <f t="shared" si="9"/>
        <v>216</v>
      </c>
      <c r="I15" s="56">
        <f t="shared" si="10"/>
        <v>432</v>
      </c>
      <c r="J15" s="57">
        <f t="shared" si="11"/>
        <v>2832</v>
      </c>
    </row>
    <row r="16" spans="1:10" x14ac:dyDescent="0.25">
      <c r="A16" s="59" t="s">
        <v>127</v>
      </c>
      <c r="B16" s="46" t="s">
        <v>128</v>
      </c>
      <c r="C16" s="44" t="s">
        <v>347</v>
      </c>
      <c r="D16" s="44" t="s">
        <v>376</v>
      </c>
      <c r="E16" s="45">
        <v>2000</v>
      </c>
      <c r="F16" s="42">
        <v>18</v>
      </c>
      <c r="G16" s="56">
        <f t="shared" si="8"/>
        <v>180</v>
      </c>
      <c r="H16" s="56">
        <f t="shared" si="9"/>
        <v>180</v>
      </c>
      <c r="I16" s="56">
        <f t="shared" si="10"/>
        <v>360</v>
      </c>
      <c r="J16" s="57">
        <f t="shared" si="11"/>
        <v>2360</v>
      </c>
    </row>
    <row r="17" spans="1:10" x14ac:dyDescent="0.25">
      <c r="A17" s="59" t="s">
        <v>127</v>
      </c>
      <c r="B17" s="46" t="s">
        <v>128</v>
      </c>
      <c r="C17" s="44" t="s">
        <v>348</v>
      </c>
      <c r="D17" s="44" t="s">
        <v>377</v>
      </c>
      <c r="E17" s="45">
        <v>3120</v>
      </c>
      <c r="F17" s="42">
        <v>18</v>
      </c>
      <c r="G17" s="56">
        <f t="shared" si="8"/>
        <v>281</v>
      </c>
      <c r="H17" s="56">
        <f t="shared" si="9"/>
        <v>281</v>
      </c>
      <c r="I17" s="56">
        <f t="shared" si="10"/>
        <v>562</v>
      </c>
      <c r="J17" s="57">
        <f t="shared" si="11"/>
        <v>3682</v>
      </c>
    </row>
    <row r="18" spans="1:10" x14ac:dyDescent="0.25">
      <c r="A18" s="59" t="s">
        <v>135</v>
      </c>
      <c r="B18" s="46" t="s">
        <v>136</v>
      </c>
      <c r="C18" s="44" t="s">
        <v>349</v>
      </c>
      <c r="D18" s="44" t="s">
        <v>378</v>
      </c>
      <c r="E18" s="45">
        <v>800</v>
      </c>
      <c r="F18" s="42">
        <v>18</v>
      </c>
      <c r="G18" s="56">
        <f t="shared" si="8"/>
        <v>72</v>
      </c>
      <c r="H18" s="56">
        <f t="shared" si="9"/>
        <v>72</v>
      </c>
      <c r="I18" s="56">
        <f t="shared" si="10"/>
        <v>144</v>
      </c>
      <c r="J18" s="57">
        <f t="shared" si="11"/>
        <v>944</v>
      </c>
    </row>
    <row r="19" spans="1:10" x14ac:dyDescent="0.25">
      <c r="A19" s="59" t="s">
        <v>127</v>
      </c>
      <c r="B19" s="46" t="s">
        <v>128</v>
      </c>
      <c r="C19" s="44" t="s">
        <v>350</v>
      </c>
      <c r="D19" s="44" t="s">
        <v>378</v>
      </c>
      <c r="E19" s="45">
        <v>4325</v>
      </c>
      <c r="F19" s="42">
        <v>18</v>
      </c>
      <c r="G19" s="56">
        <f t="shared" si="8"/>
        <v>389</v>
      </c>
      <c r="H19" s="56">
        <f t="shared" si="9"/>
        <v>389</v>
      </c>
      <c r="I19" s="56">
        <f t="shared" si="10"/>
        <v>778</v>
      </c>
      <c r="J19" s="57">
        <f t="shared" si="11"/>
        <v>5103</v>
      </c>
    </row>
    <row r="20" spans="1:10" x14ac:dyDescent="0.25">
      <c r="A20" s="59" t="s">
        <v>127</v>
      </c>
      <c r="B20" s="46" t="s">
        <v>128</v>
      </c>
      <c r="C20" s="44" t="s">
        <v>351</v>
      </c>
      <c r="D20" s="44" t="s">
        <v>378</v>
      </c>
      <c r="E20" s="45">
        <v>8540</v>
      </c>
      <c r="F20" s="42">
        <v>18</v>
      </c>
      <c r="G20" s="56">
        <f t="shared" si="8"/>
        <v>769</v>
      </c>
      <c r="H20" s="56">
        <f t="shared" si="9"/>
        <v>769</v>
      </c>
      <c r="I20" s="56">
        <f t="shared" si="10"/>
        <v>1538</v>
      </c>
      <c r="J20" s="57">
        <f t="shared" si="11"/>
        <v>10078</v>
      </c>
    </row>
    <row r="21" spans="1:10" x14ac:dyDescent="0.25">
      <c r="A21" s="59" t="s">
        <v>306</v>
      </c>
      <c r="B21" s="46" t="s">
        <v>124</v>
      </c>
      <c r="C21" s="44" t="s">
        <v>352</v>
      </c>
      <c r="D21" s="44" t="s">
        <v>378</v>
      </c>
      <c r="E21" s="45">
        <v>600</v>
      </c>
      <c r="F21" s="42">
        <v>18</v>
      </c>
      <c r="G21" s="56">
        <f t="shared" si="8"/>
        <v>54</v>
      </c>
      <c r="H21" s="56">
        <f t="shared" si="9"/>
        <v>54</v>
      </c>
      <c r="I21" s="56">
        <f t="shared" si="10"/>
        <v>108</v>
      </c>
      <c r="J21" s="57">
        <f t="shared" si="11"/>
        <v>708</v>
      </c>
    </row>
    <row r="22" spans="1:10" x14ac:dyDescent="0.25">
      <c r="A22" s="59" t="s">
        <v>306</v>
      </c>
      <c r="B22" s="46" t="s">
        <v>124</v>
      </c>
      <c r="C22" s="44" t="s">
        <v>353</v>
      </c>
      <c r="D22" s="44" t="s">
        <v>379</v>
      </c>
      <c r="E22" s="45">
        <v>2450</v>
      </c>
      <c r="F22" s="42">
        <v>18</v>
      </c>
      <c r="G22" s="56">
        <f t="shared" si="8"/>
        <v>221</v>
      </c>
      <c r="H22" s="56">
        <f t="shared" si="9"/>
        <v>221</v>
      </c>
      <c r="I22" s="56">
        <f t="shared" si="10"/>
        <v>442</v>
      </c>
      <c r="J22" s="57">
        <f t="shared" si="11"/>
        <v>2892</v>
      </c>
    </row>
    <row r="23" spans="1:10" x14ac:dyDescent="0.25">
      <c r="A23" s="59" t="s">
        <v>306</v>
      </c>
      <c r="B23" s="46" t="s">
        <v>124</v>
      </c>
      <c r="C23" s="44" t="s">
        <v>354</v>
      </c>
      <c r="D23" s="44" t="s">
        <v>380</v>
      </c>
      <c r="E23" s="45">
        <v>3375</v>
      </c>
      <c r="F23" s="42">
        <v>18</v>
      </c>
      <c r="G23" s="56">
        <f t="shared" si="8"/>
        <v>304</v>
      </c>
      <c r="H23" s="56">
        <f t="shared" si="9"/>
        <v>304</v>
      </c>
      <c r="I23" s="56">
        <f t="shared" si="10"/>
        <v>608</v>
      </c>
      <c r="J23" s="57">
        <f t="shared" si="11"/>
        <v>3983</v>
      </c>
    </row>
    <row r="24" spans="1:10" x14ac:dyDescent="0.25">
      <c r="A24" s="59" t="s">
        <v>306</v>
      </c>
      <c r="B24" s="46" t="s">
        <v>124</v>
      </c>
      <c r="C24" s="44" t="s">
        <v>355</v>
      </c>
      <c r="D24" s="44" t="s">
        <v>381</v>
      </c>
      <c r="E24" s="45">
        <v>2033</v>
      </c>
      <c r="F24" s="42">
        <v>18</v>
      </c>
      <c r="G24" s="56">
        <f t="shared" si="8"/>
        <v>183</v>
      </c>
      <c r="H24" s="56">
        <f t="shared" si="9"/>
        <v>183</v>
      </c>
      <c r="I24" s="56">
        <f t="shared" si="10"/>
        <v>366</v>
      </c>
      <c r="J24" s="57">
        <f t="shared" si="11"/>
        <v>2399</v>
      </c>
    </row>
    <row r="25" spans="1:10" x14ac:dyDescent="0.25">
      <c r="A25" s="59" t="s">
        <v>127</v>
      </c>
      <c r="B25" s="46" t="s">
        <v>128</v>
      </c>
      <c r="C25" s="44" t="s">
        <v>356</v>
      </c>
      <c r="D25" s="44" t="s">
        <v>382</v>
      </c>
      <c r="E25" s="45">
        <v>800</v>
      </c>
      <c r="F25" s="42">
        <v>18</v>
      </c>
      <c r="G25" s="56">
        <f t="shared" si="8"/>
        <v>72</v>
      </c>
      <c r="H25" s="56">
        <f t="shared" si="9"/>
        <v>72</v>
      </c>
      <c r="I25" s="56">
        <f t="shared" si="10"/>
        <v>144</v>
      </c>
      <c r="J25" s="57">
        <f t="shared" si="11"/>
        <v>944</v>
      </c>
    </row>
    <row r="26" spans="1:10" x14ac:dyDescent="0.25">
      <c r="A26" s="59" t="s">
        <v>306</v>
      </c>
      <c r="B26" s="46" t="s">
        <v>124</v>
      </c>
      <c r="C26" s="44" t="s">
        <v>357</v>
      </c>
      <c r="D26" s="44" t="s">
        <v>382</v>
      </c>
      <c r="E26" s="45">
        <v>1450</v>
      </c>
      <c r="F26" s="42">
        <v>18</v>
      </c>
      <c r="G26" s="56">
        <f t="shared" si="8"/>
        <v>131</v>
      </c>
      <c r="H26" s="56">
        <f t="shared" si="9"/>
        <v>131</v>
      </c>
      <c r="I26" s="56">
        <f t="shared" si="10"/>
        <v>262</v>
      </c>
      <c r="J26" s="57">
        <f t="shared" si="11"/>
        <v>1712</v>
      </c>
    </row>
    <row r="27" spans="1:10" x14ac:dyDescent="0.25">
      <c r="A27" s="59" t="s">
        <v>135</v>
      </c>
      <c r="B27" s="46" t="s">
        <v>136</v>
      </c>
      <c r="C27" s="44" t="s">
        <v>358</v>
      </c>
      <c r="D27" s="44" t="s">
        <v>379</v>
      </c>
      <c r="E27" s="45">
        <v>3440</v>
      </c>
      <c r="F27" s="42">
        <v>18</v>
      </c>
      <c r="G27" s="56">
        <f t="shared" si="8"/>
        <v>310</v>
      </c>
      <c r="H27" s="56">
        <f t="shared" si="9"/>
        <v>310</v>
      </c>
      <c r="I27" s="56">
        <f t="shared" si="10"/>
        <v>620</v>
      </c>
      <c r="J27" s="57">
        <f t="shared" si="11"/>
        <v>4060</v>
      </c>
    </row>
    <row r="28" spans="1:10" x14ac:dyDescent="0.25">
      <c r="A28" s="59" t="s">
        <v>135</v>
      </c>
      <c r="B28" s="46" t="s">
        <v>136</v>
      </c>
      <c r="C28" s="44" t="s">
        <v>359</v>
      </c>
      <c r="D28" s="44" t="s">
        <v>380</v>
      </c>
      <c r="E28" s="45">
        <v>570</v>
      </c>
      <c r="F28" s="42">
        <v>18</v>
      </c>
      <c r="G28" s="56">
        <f t="shared" si="8"/>
        <v>51</v>
      </c>
      <c r="H28" s="56">
        <f t="shared" si="9"/>
        <v>51</v>
      </c>
      <c r="I28" s="56">
        <f t="shared" si="10"/>
        <v>102</v>
      </c>
      <c r="J28" s="57">
        <f t="shared" si="11"/>
        <v>672</v>
      </c>
    </row>
    <row r="29" spans="1:10" x14ac:dyDescent="0.25">
      <c r="A29" s="59" t="s">
        <v>135</v>
      </c>
      <c r="B29" s="46" t="s">
        <v>136</v>
      </c>
      <c r="C29" s="44" t="s">
        <v>360</v>
      </c>
      <c r="D29" s="44" t="s">
        <v>382</v>
      </c>
      <c r="E29" s="45">
        <v>1260</v>
      </c>
      <c r="F29" s="42">
        <v>18</v>
      </c>
      <c r="G29" s="56">
        <f t="shared" si="8"/>
        <v>113</v>
      </c>
      <c r="H29" s="56">
        <f t="shared" si="9"/>
        <v>113</v>
      </c>
      <c r="I29" s="56">
        <f t="shared" si="10"/>
        <v>226</v>
      </c>
      <c r="J29" s="57">
        <f t="shared" si="11"/>
        <v>1486</v>
      </c>
    </row>
    <row r="30" spans="1:10" x14ac:dyDescent="0.25">
      <c r="A30" s="59" t="s">
        <v>135</v>
      </c>
      <c r="B30" s="46" t="s">
        <v>136</v>
      </c>
      <c r="C30" s="44" t="s">
        <v>361</v>
      </c>
      <c r="D30" s="44" t="s">
        <v>383</v>
      </c>
      <c r="E30" s="45">
        <v>1560</v>
      </c>
      <c r="F30" s="42">
        <v>18</v>
      </c>
      <c r="G30" s="56">
        <f t="shared" si="8"/>
        <v>140</v>
      </c>
      <c r="H30" s="56">
        <f t="shared" si="9"/>
        <v>140</v>
      </c>
      <c r="I30" s="56">
        <f t="shared" si="10"/>
        <v>280</v>
      </c>
      <c r="J30" s="57">
        <f t="shared" si="11"/>
        <v>1840</v>
      </c>
    </row>
    <row r="31" spans="1:10" x14ac:dyDescent="0.25">
      <c r="A31" s="59" t="s">
        <v>127</v>
      </c>
      <c r="B31" s="46" t="s">
        <v>128</v>
      </c>
      <c r="C31" s="44" t="s">
        <v>362</v>
      </c>
      <c r="D31" s="44" t="s">
        <v>383</v>
      </c>
      <c r="E31" s="45">
        <v>3300</v>
      </c>
      <c r="F31" s="42">
        <v>18</v>
      </c>
      <c r="G31" s="56">
        <f t="shared" si="8"/>
        <v>297</v>
      </c>
      <c r="H31" s="56">
        <f t="shared" si="9"/>
        <v>297</v>
      </c>
      <c r="I31" s="56">
        <f t="shared" si="10"/>
        <v>594</v>
      </c>
      <c r="J31" s="57">
        <f t="shared" si="11"/>
        <v>3894</v>
      </c>
    </row>
    <row r="32" spans="1:10" x14ac:dyDescent="0.25">
      <c r="A32" s="59" t="s">
        <v>306</v>
      </c>
      <c r="B32" s="46" t="s">
        <v>124</v>
      </c>
      <c r="C32" s="44" t="s">
        <v>363</v>
      </c>
      <c r="D32" s="44" t="s">
        <v>384</v>
      </c>
      <c r="E32" s="45">
        <v>1030</v>
      </c>
      <c r="F32" s="42">
        <v>18</v>
      </c>
      <c r="G32" s="56">
        <f t="shared" si="8"/>
        <v>93</v>
      </c>
      <c r="H32" s="56">
        <f t="shared" si="9"/>
        <v>93</v>
      </c>
      <c r="I32" s="56">
        <f t="shared" si="10"/>
        <v>186</v>
      </c>
      <c r="J32" s="57">
        <f t="shared" si="11"/>
        <v>1216</v>
      </c>
    </row>
    <row r="33" spans="1:10" x14ac:dyDescent="0.25">
      <c r="A33" s="59" t="s">
        <v>306</v>
      </c>
      <c r="B33" s="46" t="s">
        <v>124</v>
      </c>
      <c r="C33" s="44" t="s">
        <v>364</v>
      </c>
      <c r="D33" s="44" t="s">
        <v>384</v>
      </c>
      <c r="E33" s="45">
        <v>2319</v>
      </c>
      <c r="F33" s="42">
        <v>18</v>
      </c>
      <c r="G33" s="56">
        <f t="shared" si="8"/>
        <v>209</v>
      </c>
      <c r="H33" s="56">
        <f t="shared" si="9"/>
        <v>209</v>
      </c>
      <c r="I33" s="56">
        <f t="shared" si="10"/>
        <v>418</v>
      </c>
      <c r="J33" s="57">
        <f t="shared" si="11"/>
        <v>2737</v>
      </c>
    </row>
    <row r="34" spans="1:10" x14ac:dyDescent="0.25">
      <c r="A34" s="59" t="s">
        <v>306</v>
      </c>
      <c r="B34" s="46" t="s">
        <v>124</v>
      </c>
      <c r="C34" s="44" t="s">
        <v>365</v>
      </c>
      <c r="D34" s="44" t="s">
        <v>384</v>
      </c>
      <c r="E34" s="45">
        <v>1200</v>
      </c>
      <c r="F34" s="42">
        <v>18</v>
      </c>
      <c r="G34" s="56">
        <f t="shared" si="8"/>
        <v>108</v>
      </c>
      <c r="H34" s="56">
        <f t="shared" si="9"/>
        <v>108</v>
      </c>
      <c r="I34" s="56">
        <f t="shared" si="10"/>
        <v>216</v>
      </c>
      <c r="J34" s="57">
        <f t="shared" si="11"/>
        <v>1416</v>
      </c>
    </row>
    <row r="35" spans="1:10" x14ac:dyDescent="0.25">
      <c r="A35" s="59" t="s">
        <v>306</v>
      </c>
      <c r="B35" s="46" t="s">
        <v>124</v>
      </c>
      <c r="C35" s="44" t="s">
        <v>366</v>
      </c>
      <c r="D35" s="44" t="s">
        <v>384</v>
      </c>
      <c r="E35" s="45">
        <v>3582</v>
      </c>
      <c r="F35" s="42">
        <v>18</v>
      </c>
      <c r="G35" s="56">
        <f t="shared" si="8"/>
        <v>322</v>
      </c>
      <c r="H35" s="56">
        <f t="shared" si="9"/>
        <v>322</v>
      </c>
      <c r="I35" s="56">
        <f t="shared" si="10"/>
        <v>644</v>
      </c>
      <c r="J35" s="57">
        <f t="shared" si="11"/>
        <v>4226</v>
      </c>
    </row>
    <row r="36" spans="1:10" x14ac:dyDescent="0.25">
      <c r="A36" s="59" t="s">
        <v>306</v>
      </c>
      <c r="B36" s="46" t="s">
        <v>124</v>
      </c>
      <c r="C36" s="44" t="s">
        <v>367</v>
      </c>
      <c r="D36" s="44" t="s">
        <v>384</v>
      </c>
      <c r="E36" s="45">
        <v>880</v>
      </c>
      <c r="F36" s="42">
        <v>18</v>
      </c>
      <c r="G36" s="56">
        <f t="shared" si="8"/>
        <v>79</v>
      </c>
      <c r="H36" s="56">
        <f t="shared" si="9"/>
        <v>79</v>
      </c>
      <c r="I36" s="56">
        <f t="shared" si="10"/>
        <v>158</v>
      </c>
      <c r="J36" s="57">
        <f t="shared" si="11"/>
        <v>1038</v>
      </c>
    </row>
    <row r="37" spans="1:10" x14ac:dyDescent="0.25">
      <c r="A37" s="59" t="s">
        <v>135</v>
      </c>
      <c r="B37" s="46" t="s">
        <v>136</v>
      </c>
      <c r="C37" s="44" t="s">
        <v>368</v>
      </c>
      <c r="D37" s="44" t="s">
        <v>385</v>
      </c>
      <c r="E37" s="45">
        <v>4056</v>
      </c>
      <c r="F37" s="42">
        <v>18</v>
      </c>
      <c r="G37" s="56">
        <f t="shared" si="8"/>
        <v>365</v>
      </c>
      <c r="H37" s="56">
        <f t="shared" si="9"/>
        <v>365</v>
      </c>
      <c r="I37" s="56">
        <f t="shared" si="10"/>
        <v>730</v>
      </c>
      <c r="J37" s="57">
        <f t="shared" si="11"/>
        <v>4786</v>
      </c>
    </row>
    <row r="38" spans="1:10" x14ac:dyDescent="0.25">
      <c r="A38" s="59" t="s">
        <v>135</v>
      </c>
      <c r="B38" s="46" t="s">
        <v>136</v>
      </c>
      <c r="C38" s="44" t="s">
        <v>369</v>
      </c>
      <c r="D38" s="44" t="s">
        <v>386</v>
      </c>
      <c r="E38" s="45">
        <v>550</v>
      </c>
      <c r="F38" s="42">
        <v>18</v>
      </c>
      <c r="G38" s="56">
        <f t="shared" si="8"/>
        <v>50</v>
      </c>
      <c r="H38" s="56">
        <f t="shared" si="9"/>
        <v>50</v>
      </c>
      <c r="I38" s="56">
        <f t="shared" si="10"/>
        <v>100</v>
      </c>
      <c r="J38" s="57">
        <f t="shared" si="11"/>
        <v>650</v>
      </c>
    </row>
    <row r="39" spans="1:10" x14ac:dyDescent="0.25">
      <c r="A39" s="59"/>
      <c r="B39" s="46"/>
      <c r="C39" s="44"/>
      <c r="D39" s="44"/>
      <c r="E39" s="45"/>
      <c r="F39" s="42">
        <v>18</v>
      </c>
      <c r="G39" s="56">
        <f t="shared" si="8"/>
        <v>0</v>
      </c>
      <c r="H39" s="56">
        <f t="shared" si="9"/>
        <v>0</v>
      </c>
      <c r="I39" s="56">
        <f t="shared" si="10"/>
        <v>0</v>
      </c>
      <c r="J39" s="57">
        <f t="shared" si="11"/>
        <v>0</v>
      </c>
    </row>
    <row r="40" spans="1:10" x14ac:dyDescent="0.25">
      <c r="A40" s="59"/>
      <c r="B40" s="46"/>
      <c r="C40" s="44"/>
      <c r="D40" s="44"/>
      <c r="E40" s="45"/>
      <c r="F40" s="42">
        <v>18</v>
      </c>
      <c r="G40" s="56">
        <f t="shared" si="8"/>
        <v>0</v>
      </c>
      <c r="H40" s="56">
        <f t="shared" si="9"/>
        <v>0</v>
      </c>
      <c r="I40" s="56">
        <f t="shared" si="10"/>
        <v>0</v>
      </c>
      <c r="J40" s="57">
        <f t="shared" si="11"/>
        <v>0</v>
      </c>
    </row>
    <row r="41" spans="1:10" x14ac:dyDescent="0.25">
      <c r="A41" s="59"/>
      <c r="B41" s="46"/>
      <c r="C41" s="44"/>
      <c r="D41" s="44"/>
      <c r="E41" s="45"/>
      <c r="F41" s="42">
        <v>18</v>
      </c>
      <c r="G41" s="56">
        <f t="shared" si="8"/>
        <v>0</v>
      </c>
      <c r="H41" s="56">
        <f t="shared" si="9"/>
        <v>0</v>
      </c>
      <c r="I41" s="56">
        <f t="shared" si="10"/>
        <v>0</v>
      </c>
      <c r="J41" s="57">
        <f t="shared" si="11"/>
        <v>0</v>
      </c>
    </row>
    <row r="42" spans="1:10" x14ac:dyDescent="0.25">
      <c r="A42" s="59"/>
      <c r="B42" s="46"/>
      <c r="C42" s="44"/>
      <c r="D42" s="44"/>
      <c r="E42" s="45"/>
      <c r="F42" s="42">
        <v>18</v>
      </c>
      <c r="G42" s="56">
        <f t="shared" si="8"/>
        <v>0</v>
      </c>
      <c r="H42" s="56">
        <f t="shared" si="9"/>
        <v>0</v>
      </c>
      <c r="I42" s="56">
        <f t="shared" si="10"/>
        <v>0</v>
      </c>
      <c r="J42" s="57">
        <f t="shared" si="11"/>
        <v>0</v>
      </c>
    </row>
    <row r="43" spans="1:10" x14ac:dyDescent="0.25">
      <c r="A43" s="59"/>
      <c r="B43" s="46"/>
      <c r="C43" s="44"/>
      <c r="D43" s="44"/>
      <c r="E43" s="45"/>
      <c r="F43" s="42">
        <v>18</v>
      </c>
      <c r="G43" s="56">
        <f t="shared" si="8"/>
        <v>0</v>
      </c>
      <c r="H43" s="56">
        <f t="shared" si="9"/>
        <v>0</v>
      </c>
      <c r="I43" s="56">
        <f t="shared" si="10"/>
        <v>0</v>
      </c>
      <c r="J43" s="57">
        <f t="shared" si="11"/>
        <v>0</v>
      </c>
    </row>
    <row r="44" spans="1:10" x14ac:dyDescent="0.25">
      <c r="A44" s="59"/>
      <c r="B44" s="46"/>
      <c r="C44" s="44"/>
      <c r="D44" s="44"/>
      <c r="E44" s="45"/>
      <c r="F44" s="42">
        <v>18</v>
      </c>
      <c r="G44" s="56">
        <f t="shared" si="8"/>
        <v>0</v>
      </c>
      <c r="H44" s="56">
        <f t="shared" si="9"/>
        <v>0</v>
      </c>
      <c r="I44" s="56">
        <f t="shared" si="10"/>
        <v>0</v>
      </c>
      <c r="J44" s="57">
        <f t="shared" si="11"/>
        <v>0</v>
      </c>
    </row>
    <row r="45" spans="1:10" x14ac:dyDescent="0.25">
      <c r="A45" s="59"/>
      <c r="B45" s="46"/>
      <c r="C45" s="44"/>
      <c r="D45" s="44"/>
      <c r="E45" s="45"/>
      <c r="F45" s="42">
        <v>18</v>
      </c>
      <c r="G45" s="56">
        <f t="shared" si="8"/>
        <v>0</v>
      </c>
      <c r="H45" s="56">
        <f t="shared" si="9"/>
        <v>0</v>
      </c>
      <c r="I45" s="56">
        <f t="shared" si="10"/>
        <v>0</v>
      </c>
      <c r="J45" s="57">
        <f t="shared" si="11"/>
        <v>0</v>
      </c>
    </row>
    <row r="46" spans="1:10" x14ac:dyDescent="0.25">
      <c r="A46" s="59"/>
      <c r="B46" s="46"/>
      <c r="C46" s="44"/>
      <c r="D46" s="44"/>
      <c r="E46" s="45"/>
      <c r="F46" s="42">
        <v>18</v>
      </c>
      <c r="G46" s="56">
        <f t="shared" si="8"/>
        <v>0</v>
      </c>
      <c r="H46" s="56">
        <f t="shared" si="9"/>
        <v>0</v>
      </c>
      <c r="I46" s="56">
        <f t="shared" si="10"/>
        <v>0</v>
      </c>
      <c r="J46" s="57">
        <f t="shared" si="11"/>
        <v>0</v>
      </c>
    </row>
    <row r="47" spans="1:10" x14ac:dyDescent="0.25">
      <c r="A47" s="59"/>
      <c r="B47" s="46"/>
      <c r="C47" s="44"/>
      <c r="D47" s="44"/>
      <c r="E47" s="45"/>
      <c r="F47" s="42">
        <v>18</v>
      </c>
      <c r="G47" s="56">
        <f t="shared" si="8"/>
        <v>0</v>
      </c>
      <c r="H47" s="56">
        <f t="shared" si="9"/>
        <v>0</v>
      </c>
      <c r="I47" s="56">
        <f t="shared" si="10"/>
        <v>0</v>
      </c>
      <c r="J47" s="57">
        <f t="shared" si="11"/>
        <v>0</v>
      </c>
    </row>
    <row r="48" spans="1:10" x14ac:dyDescent="0.25">
      <c r="A48" s="59"/>
      <c r="B48" s="46"/>
      <c r="C48" s="44"/>
      <c r="D48" s="44"/>
      <c r="E48" s="45"/>
      <c r="F48" s="42">
        <v>18</v>
      </c>
      <c r="G48" s="56">
        <f t="shared" si="8"/>
        <v>0</v>
      </c>
      <c r="H48" s="56">
        <f t="shared" si="9"/>
        <v>0</v>
      </c>
      <c r="I48" s="56">
        <f t="shared" si="10"/>
        <v>0</v>
      </c>
      <c r="J48" s="57">
        <f t="shared" si="11"/>
        <v>0</v>
      </c>
    </row>
    <row r="49" spans="1:10" x14ac:dyDescent="0.25">
      <c r="A49" s="59"/>
      <c r="B49" s="46"/>
      <c r="C49" s="44"/>
      <c r="D49" s="44"/>
      <c r="E49" s="45"/>
      <c r="F49" s="42">
        <v>18</v>
      </c>
      <c r="G49" s="56">
        <f t="shared" si="8"/>
        <v>0</v>
      </c>
      <c r="H49" s="56">
        <f t="shared" si="9"/>
        <v>0</v>
      </c>
      <c r="I49" s="56">
        <f t="shared" si="10"/>
        <v>0</v>
      </c>
      <c r="J49" s="57">
        <f t="shared" si="11"/>
        <v>0</v>
      </c>
    </row>
    <row r="50" spans="1:10" x14ac:dyDescent="0.25">
      <c r="A50" s="59"/>
      <c r="B50" s="46"/>
      <c r="C50" s="44"/>
      <c r="D50" s="44"/>
      <c r="E50" s="45"/>
      <c r="F50" s="42">
        <v>18</v>
      </c>
      <c r="G50" s="56">
        <f t="shared" si="8"/>
        <v>0</v>
      </c>
      <c r="H50" s="56">
        <f t="shared" si="9"/>
        <v>0</v>
      </c>
      <c r="I50" s="56">
        <f t="shared" si="10"/>
        <v>0</v>
      </c>
      <c r="J50" s="57">
        <f t="shared" si="11"/>
        <v>0</v>
      </c>
    </row>
    <row r="51" spans="1:10" x14ac:dyDescent="0.25">
      <c r="A51" s="59"/>
      <c r="B51" s="46"/>
      <c r="C51" s="44"/>
      <c r="D51" s="44"/>
      <c r="E51" s="45"/>
      <c r="F51" s="42">
        <v>18</v>
      </c>
      <c r="G51" s="56">
        <f t="shared" si="8"/>
        <v>0</v>
      </c>
      <c r="H51" s="56">
        <f t="shared" si="9"/>
        <v>0</v>
      </c>
      <c r="I51" s="56">
        <f t="shared" si="10"/>
        <v>0</v>
      </c>
      <c r="J51" s="57">
        <f t="shared" si="11"/>
        <v>0</v>
      </c>
    </row>
    <row r="52" spans="1:10" x14ac:dyDescent="0.25">
      <c r="A52" s="59"/>
      <c r="B52" s="46"/>
      <c r="C52" s="44"/>
      <c r="D52" s="44"/>
      <c r="E52" s="45"/>
      <c r="F52" s="42">
        <v>18</v>
      </c>
      <c r="G52" s="56">
        <f t="shared" si="8"/>
        <v>0</v>
      </c>
      <c r="H52" s="56">
        <f t="shared" si="9"/>
        <v>0</v>
      </c>
      <c r="I52" s="56">
        <f t="shared" si="10"/>
        <v>0</v>
      </c>
      <c r="J52" s="57">
        <f t="shared" si="11"/>
        <v>0</v>
      </c>
    </row>
    <row r="53" spans="1:10" x14ac:dyDescent="0.25">
      <c r="A53" s="59"/>
      <c r="B53" s="46"/>
      <c r="C53" s="44"/>
      <c r="D53" s="44"/>
      <c r="E53" s="45"/>
      <c r="F53" s="42">
        <v>18</v>
      </c>
      <c r="G53" s="56">
        <f t="shared" si="8"/>
        <v>0</v>
      </c>
      <c r="H53" s="56">
        <f t="shared" si="9"/>
        <v>0</v>
      </c>
      <c r="I53" s="56">
        <f t="shared" si="10"/>
        <v>0</v>
      </c>
      <c r="J53" s="57">
        <f t="shared" si="11"/>
        <v>0</v>
      </c>
    </row>
    <row r="54" spans="1:10" x14ac:dyDescent="0.25">
      <c r="A54" s="59"/>
      <c r="B54" s="46"/>
      <c r="C54" s="44"/>
      <c r="D54" s="44"/>
      <c r="E54" s="45"/>
      <c r="F54" s="42">
        <v>18</v>
      </c>
      <c r="G54" s="56">
        <f t="shared" si="8"/>
        <v>0</v>
      </c>
      <c r="H54" s="56">
        <f t="shared" si="9"/>
        <v>0</v>
      </c>
      <c r="I54" s="56">
        <f t="shared" si="10"/>
        <v>0</v>
      </c>
      <c r="J54" s="57">
        <f t="shared" si="11"/>
        <v>0</v>
      </c>
    </row>
    <row r="55" spans="1:10" x14ac:dyDescent="0.25">
      <c r="A55" s="59"/>
      <c r="B55" s="46"/>
      <c r="C55" s="44"/>
      <c r="D55" s="44"/>
      <c r="E55" s="45"/>
      <c r="F55" s="42">
        <v>18</v>
      </c>
      <c r="G55" s="56">
        <f t="shared" si="8"/>
        <v>0</v>
      </c>
      <c r="H55" s="56">
        <f t="shared" si="9"/>
        <v>0</v>
      </c>
      <c r="I55" s="56">
        <f t="shared" si="10"/>
        <v>0</v>
      </c>
      <c r="J55" s="57">
        <f t="shared" si="11"/>
        <v>0</v>
      </c>
    </row>
    <row r="56" spans="1:10" x14ac:dyDescent="0.25">
      <c r="A56" s="59"/>
      <c r="B56" s="46"/>
      <c r="C56" s="44"/>
      <c r="D56" s="44"/>
      <c r="E56" s="45"/>
      <c r="F56" s="42">
        <v>18</v>
      </c>
      <c r="G56" s="56">
        <f t="shared" si="8"/>
        <v>0</v>
      </c>
      <c r="H56" s="56">
        <f t="shared" si="9"/>
        <v>0</v>
      </c>
      <c r="I56" s="56">
        <f t="shared" si="10"/>
        <v>0</v>
      </c>
      <c r="J56" s="57">
        <f t="shared" si="11"/>
        <v>0</v>
      </c>
    </row>
    <row r="57" spans="1:10" x14ac:dyDescent="0.25">
      <c r="A57" s="59"/>
      <c r="B57" s="46"/>
      <c r="C57" s="44"/>
      <c r="D57" s="44"/>
      <c r="E57" s="45"/>
      <c r="F57" s="42">
        <v>18</v>
      </c>
      <c r="G57" s="56">
        <f t="shared" si="8"/>
        <v>0</v>
      </c>
      <c r="H57" s="56">
        <f t="shared" si="9"/>
        <v>0</v>
      </c>
      <c r="I57" s="56">
        <f t="shared" si="10"/>
        <v>0</v>
      </c>
      <c r="J57" s="57">
        <f t="shared" si="11"/>
        <v>0</v>
      </c>
    </row>
    <row r="58" spans="1:10" x14ac:dyDescent="0.25">
      <c r="A58" s="59"/>
      <c r="B58" s="46"/>
      <c r="C58" s="44"/>
      <c r="D58" s="44"/>
      <c r="E58" s="45"/>
      <c r="F58" s="42">
        <v>18</v>
      </c>
      <c r="G58" s="56">
        <f t="shared" si="8"/>
        <v>0</v>
      </c>
      <c r="H58" s="56">
        <f t="shared" si="9"/>
        <v>0</v>
      </c>
      <c r="I58" s="56">
        <f t="shared" si="10"/>
        <v>0</v>
      </c>
      <c r="J58" s="57">
        <f t="shared" si="11"/>
        <v>0</v>
      </c>
    </row>
    <row r="59" spans="1:10" x14ac:dyDescent="0.25">
      <c r="A59" s="59"/>
      <c r="B59" s="46"/>
      <c r="C59" s="44"/>
      <c r="D59" s="44"/>
      <c r="E59" s="45"/>
      <c r="F59" s="42">
        <v>18</v>
      </c>
      <c r="G59" s="56">
        <f t="shared" si="8"/>
        <v>0</v>
      </c>
      <c r="H59" s="56">
        <f t="shared" si="9"/>
        <v>0</v>
      </c>
      <c r="I59" s="56">
        <f t="shared" si="10"/>
        <v>0</v>
      </c>
      <c r="J59" s="57">
        <f t="shared" si="11"/>
        <v>0</v>
      </c>
    </row>
    <row r="60" spans="1:10" x14ac:dyDescent="0.25">
      <c r="A60" s="59"/>
      <c r="B60" s="46"/>
      <c r="C60" s="44"/>
      <c r="D60" s="44"/>
      <c r="E60" s="45"/>
      <c r="F60" s="42">
        <v>18</v>
      </c>
      <c r="G60" s="56">
        <f t="shared" si="8"/>
        <v>0</v>
      </c>
      <c r="H60" s="56">
        <f t="shared" si="9"/>
        <v>0</v>
      </c>
      <c r="I60" s="56">
        <f t="shared" si="10"/>
        <v>0</v>
      </c>
      <c r="J60" s="57">
        <f t="shared" si="11"/>
        <v>0</v>
      </c>
    </row>
    <row r="61" spans="1:10" x14ac:dyDescent="0.25">
      <c r="A61" s="59"/>
      <c r="B61" s="46"/>
      <c r="C61" s="44"/>
      <c r="D61" s="44"/>
      <c r="E61" s="45"/>
      <c r="F61" s="42">
        <v>18</v>
      </c>
      <c r="G61" s="56">
        <f t="shared" si="8"/>
        <v>0</v>
      </c>
      <c r="H61" s="56">
        <f t="shared" si="9"/>
        <v>0</v>
      </c>
      <c r="I61" s="56">
        <f t="shared" si="10"/>
        <v>0</v>
      </c>
      <c r="J61" s="57">
        <f t="shared" si="11"/>
        <v>0</v>
      </c>
    </row>
    <row r="62" spans="1:10" x14ac:dyDescent="0.25">
      <c r="A62" s="59"/>
      <c r="B62" s="46"/>
      <c r="C62" s="44"/>
      <c r="D62" s="44"/>
      <c r="E62" s="45"/>
      <c r="F62" s="42">
        <v>18</v>
      </c>
      <c r="G62" s="56">
        <f t="shared" si="8"/>
        <v>0</v>
      </c>
      <c r="H62" s="56">
        <f t="shared" si="9"/>
        <v>0</v>
      </c>
      <c r="I62" s="56">
        <f t="shared" si="10"/>
        <v>0</v>
      </c>
      <c r="J62" s="57">
        <f t="shared" si="11"/>
        <v>0</v>
      </c>
    </row>
    <row r="63" spans="1:10" x14ac:dyDescent="0.25">
      <c r="A63" s="59"/>
      <c r="B63" s="46"/>
      <c r="C63" s="44"/>
      <c r="D63" s="44"/>
      <c r="E63" s="45"/>
      <c r="F63" s="42">
        <v>18</v>
      </c>
      <c r="G63" s="56">
        <f t="shared" si="8"/>
        <v>0</v>
      </c>
      <c r="H63" s="56">
        <f t="shared" si="9"/>
        <v>0</v>
      </c>
      <c r="I63" s="56">
        <f t="shared" si="10"/>
        <v>0</v>
      </c>
      <c r="J63" s="57">
        <f t="shared" si="11"/>
        <v>0</v>
      </c>
    </row>
    <row r="64" spans="1:10" x14ac:dyDescent="0.25">
      <c r="A64" s="59"/>
      <c r="B64" s="46"/>
      <c r="C64" s="44"/>
      <c r="D64" s="44"/>
      <c r="E64" s="45"/>
      <c r="F64" s="42">
        <v>18</v>
      </c>
      <c r="G64" s="56">
        <f t="shared" si="8"/>
        <v>0</v>
      </c>
      <c r="H64" s="56">
        <f t="shared" si="9"/>
        <v>0</v>
      </c>
      <c r="I64" s="56">
        <f t="shared" si="10"/>
        <v>0</v>
      </c>
      <c r="J64" s="57">
        <f t="shared" si="11"/>
        <v>0</v>
      </c>
    </row>
    <row r="65" spans="1:10" x14ac:dyDescent="0.25">
      <c r="A65" s="59"/>
      <c r="B65" s="46"/>
      <c r="C65" s="44"/>
      <c r="D65" s="44"/>
      <c r="E65" s="45"/>
      <c r="F65" s="42">
        <v>18</v>
      </c>
      <c r="G65" s="56">
        <f t="shared" si="8"/>
        <v>0</v>
      </c>
      <c r="H65" s="56">
        <f t="shared" si="9"/>
        <v>0</v>
      </c>
      <c r="I65" s="56">
        <f t="shared" si="10"/>
        <v>0</v>
      </c>
      <c r="J65" s="57">
        <f t="shared" si="11"/>
        <v>0</v>
      </c>
    </row>
    <row r="66" spans="1:10" x14ac:dyDescent="0.25">
      <c r="A66" s="59"/>
      <c r="B66" s="46"/>
      <c r="C66" s="44"/>
      <c r="D66" s="44"/>
      <c r="E66" s="45"/>
      <c r="F66" s="42">
        <v>18</v>
      </c>
      <c r="G66" s="56">
        <f t="shared" si="8"/>
        <v>0</v>
      </c>
      <c r="H66" s="56">
        <f t="shared" si="9"/>
        <v>0</v>
      </c>
      <c r="I66" s="56">
        <f t="shared" si="10"/>
        <v>0</v>
      </c>
      <c r="J66" s="57">
        <f t="shared" si="11"/>
        <v>0</v>
      </c>
    </row>
    <row r="67" spans="1:10" x14ac:dyDescent="0.25">
      <c r="A67" s="59"/>
      <c r="B67" s="46"/>
      <c r="C67" s="44"/>
      <c r="D67" s="44"/>
      <c r="E67" s="45"/>
      <c r="F67" s="42">
        <v>18</v>
      </c>
      <c r="G67" s="56">
        <f t="shared" si="8"/>
        <v>0</v>
      </c>
      <c r="H67" s="56">
        <f t="shared" si="9"/>
        <v>0</v>
      </c>
      <c r="I67" s="56">
        <f t="shared" si="10"/>
        <v>0</v>
      </c>
      <c r="J67" s="57">
        <f t="shared" si="11"/>
        <v>0</v>
      </c>
    </row>
    <row r="68" spans="1:10" x14ac:dyDescent="0.25">
      <c r="A68" s="59"/>
      <c r="B68" s="46"/>
      <c r="C68" s="44"/>
      <c r="D68" s="44"/>
      <c r="E68" s="45"/>
      <c r="F68" s="42">
        <v>18</v>
      </c>
      <c r="G68" s="56">
        <f t="shared" si="8"/>
        <v>0</v>
      </c>
      <c r="H68" s="56">
        <f t="shared" si="9"/>
        <v>0</v>
      </c>
      <c r="I68" s="56">
        <f t="shared" si="10"/>
        <v>0</v>
      </c>
      <c r="J68" s="57">
        <f t="shared" si="11"/>
        <v>0</v>
      </c>
    </row>
    <row r="69" spans="1:10" x14ac:dyDescent="0.25">
      <c r="A69" s="59"/>
      <c r="B69" s="46"/>
      <c r="C69" s="44"/>
      <c r="D69" s="44"/>
      <c r="E69" s="45"/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59"/>
      <c r="B70" s="46"/>
      <c r="C70" s="44"/>
      <c r="D70" s="44"/>
      <c r="E70" s="45"/>
      <c r="F70" s="42">
        <v>18</v>
      </c>
      <c r="G70" s="56">
        <f t="shared" si="8"/>
        <v>0</v>
      </c>
      <c r="H70" s="56">
        <f t="shared" si="9"/>
        <v>0</v>
      </c>
      <c r="I70" s="56">
        <f t="shared" si="10"/>
        <v>0</v>
      </c>
      <c r="J70" s="57">
        <f t="shared" si="11"/>
        <v>0</v>
      </c>
    </row>
    <row r="71" spans="1:10" x14ac:dyDescent="0.25">
      <c r="A71" s="59"/>
      <c r="B71" s="46"/>
      <c r="C71" s="44"/>
      <c r="D71" s="44"/>
      <c r="E71" s="45"/>
      <c r="F71" s="42">
        <v>18</v>
      </c>
      <c r="G71" s="56">
        <f t="shared" ref="G71:G134" si="12">ROUND((E71*F71%)/2,)</f>
        <v>0</v>
      </c>
      <c r="H71" s="56">
        <f t="shared" ref="H71:H134" si="13">G71</f>
        <v>0</v>
      </c>
      <c r="I71" s="56">
        <f t="shared" ref="I71:I134" si="14">G71+H71</f>
        <v>0</v>
      </c>
      <c r="J71" s="57">
        <f t="shared" ref="J71:J134" si="15">E71+I71</f>
        <v>0</v>
      </c>
    </row>
    <row r="72" spans="1:10" x14ac:dyDescent="0.25">
      <c r="A72" s="59"/>
      <c r="B72" s="46"/>
      <c r="C72" s="44"/>
      <c r="D72" s="44"/>
      <c r="E72" s="45"/>
      <c r="F72" s="42">
        <v>18</v>
      </c>
      <c r="G72" s="56">
        <f t="shared" si="12"/>
        <v>0</v>
      </c>
      <c r="H72" s="56">
        <f t="shared" si="13"/>
        <v>0</v>
      </c>
      <c r="I72" s="56">
        <f t="shared" si="14"/>
        <v>0</v>
      </c>
      <c r="J72" s="57">
        <f t="shared" si="15"/>
        <v>0</v>
      </c>
    </row>
    <row r="73" spans="1:10" x14ac:dyDescent="0.25">
      <c r="A73" s="59"/>
      <c r="B73" s="46"/>
      <c r="C73" s="44"/>
      <c r="D73" s="44"/>
      <c r="E73" s="45"/>
      <c r="F73" s="42">
        <v>18</v>
      </c>
      <c r="G73" s="56">
        <f t="shared" si="12"/>
        <v>0</v>
      </c>
      <c r="H73" s="56">
        <f t="shared" si="13"/>
        <v>0</v>
      </c>
      <c r="I73" s="56">
        <f t="shared" si="14"/>
        <v>0</v>
      </c>
      <c r="J73" s="57">
        <f t="shared" si="15"/>
        <v>0</v>
      </c>
    </row>
    <row r="74" spans="1:10" x14ac:dyDescent="0.25">
      <c r="A74" s="59"/>
      <c r="B74" s="46"/>
      <c r="C74" s="44"/>
      <c r="D74" s="44"/>
      <c r="E74" s="45"/>
      <c r="F74" s="42">
        <v>18</v>
      </c>
      <c r="G74" s="56">
        <f t="shared" si="12"/>
        <v>0</v>
      </c>
      <c r="H74" s="56">
        <f t="shared" si="13"/>
        <v>0</v>
      </c>
      <c r="I74" s="56">
        <f t="shared" si="14"/>
        <v>0</v>
      </c>
      <c r="J74" s="57">
        <f t="shared" si="15"/>
        <v>0</v>
      </c>
    </row>
    <row r="75" spans="1:10" x14ac:dyDescent="0.25">
      <c r="A75" s="59"/>
      <c r="B75" s="46"/>
      <c r="C75" s="44"/>
      <c r="D75" s="44"/>
      <c r="E75" s="45"/>
      <c r="F75" s="42">
        <v>18</v>
      </c>
      <c r="G75" s="56">
        <f t="shared" si="12"/>
        <v>0</v>
      </c>
      <c r="H75" s="56">
        <f t="shared" si="13"/>
        <v>0</v>
      </c>
      <c r="I75" s="56">
        <f t="shared" si="14"/>
        <v>0</v>
      </c>
      <c r="J75" s="57">
        <f t="shared" si="15"/>
        <v>0</v>
      </c>
    </row>
    <row r="76" spans="1:10" x14ac:dyDescent="0.25">
      <c r="A76" s="59"/>
      <c r="B76" s="46"/>
      <c r="C76" s="44"/>
      <c r="D76" s="44"/>
      <c r="E76" s="45"/>
      <c r="F76" s="42">
        <v>18</v>
      </c>
      <c r="G76" s="56">
        <f t="shared" si="12"/>
        <v>0</v>
      </c>
      <c r="H76" s="56">
        <f t="shared" si="13"/>
        <v>0</v>
      </c>
      <c r="I76" s="56">
        <f t="shared" si="14"/>
        <v>0</v>
      </c>
      <c r="J76" s="57">
        <f t="shared" si="15"/>
        <v>0</v>
      </c>
    </row>
    <row r="77" spans="1:10" x14ac:dyDescent="0.25">
      <c r="A77" s="59"/>
      <c r="B77" s="46"/>
      <c r="C77" s="44"/>
      <c r="D77" s="44"/>
      <c r="E77" s="45"/>
      <c r="F77" s="42">
        <v>18</v>
      </c>
      <c r="G77" s="56">
        <f t="shared" si="12"/>
        <v>0</v>
      </c>
      <c r="H77" s="56">
        <f t="shared" si="13"/>
        <v>0</v>
      </c>
      <c r="I77" s="56">
        <f t="shared" si="14"/>
        <v>0</v>
      </c>
      <c r="J77" s="57">
        <f t="shared" si="15"/>
        <v>0</v>
      </c>
    </row>
    <row r="78" spans="1:10" x14ac:dyDescent="0.25">
      <c r="A78" s="59"/>
      <c r="B78" s="46"/>
      <c r="C78" s="44"/>
      <c r="D78" s="44"/>
      <c r="E78" s="45"/>
      <c r="F78" s="42">
        <v>18</v>
      </c>
      <c r="G78" s="56">
        <f t="shared" si="12"/>
        <v>0</v>
      </c>
      <c r="H78" s="56">
        <f t="shared" si="13"/>
        <v>0</v>
      </c>
      <c r="I78" s="56">
        <f t="shared" si="14"/>
        <v>0</v>
      </c>
      <c r="J78" s="57">
        <f t="shared" si="15"/>
        <v>0</v>
      </c>
    </row>
    <row r="79" spans="1:10" x14ac:dyDescent="0.25">
      <c r="A79" s="59"/>
      <c r="B79" s="46"/>
      <c r="C79" s="44"/>
      <c r="D79" s="44"/>
      <c r="E79" s="45"/>
      <c r="F79" s="42">
        <v>18</v>
      </c>
      <c r="G79" s="56">
        <f t="shared" si="12"/>
        <v>0</v>
      </c>
      <c r="H79" s="56">
        <f t="shared" si="13"/>
        <v>0</v>
      </c>
      <c r="I79" s="56">
        <f t="shared" si="14"/>
        <v>0</v>
      </c>
      <c r="J79" s="57">
        <f t="shared" si="15"/>
        <v>0</v>
      </c>
    </row>
    <row r="80" spans="1:10" x14ac:dyDescent="0.25">
      <c r="A80" s="59"/>
      <c r="B80" s="46"/>
      <c r="C80" s="44"/>
      <c r="D80" s="44"/>
      <c r="E80" s="45"/>
      <c r="F80" s="42">
        <v>18</v>
      </c>
      <c r="G80" s="56">
        <f t="shared" si="12"/>
        <v>0</v>
      </c>
      <c r="H80" s="56">
        <f t="shared" si="13"/>
        <v>0</v>
      </c>
      <c r="I80" s="56">
        <f t="shared" si="14"/>
        <v>0</v>
      </c>
      <c r="J80" s="57">
        <f t="shared" si="15"/>
        <v>0</v>
      </c>
    </row>
    <row r="81" spans="1:10" x14ac:dyDescent="0.25">
      <c r="A81" s="59"/>
      <c r="B81" s="46"/>
      <c r="C81" s="44"/>
      <c r="D81" s="44"/>
      <c r="E81" s="45"/>
      <c r="F81" s="42">
        <v>18</v>
      </c>
      <c r="G81" s="56">
        <f t="shared" si="12"/>
        <v>0</v>
      </c>
      <c r="H81" s="56">
        <f t="shared" si="13"/>
        <v>0</v>
      </c>
      <c r="I81" s="56">
        <f t="shared" si="14"/>
        <v>0</v>
      </c>
      <c r="J81" s="57">
        <f t="shared" si="15"/>
        <v>0</v>
      </c>
    </row>
    <row r="82" spans="1:10" x14ac:dyDescent="0.25">
      <c r="A82" s="59"/>
      <c r="B82" s="46"/>
      <c r="C82" s="44"/>
      <c r="D82" s="44"/>
      <c r="E82" s="45"/>
      <c r="F82" s="42">
        <v>18</v>
      </c>
      <c r="G82" s="56">
        <f t="shared" si="12"/>
        <v>0</v>
      </c>
      <c r="H82" s="56">
        <f t="shared" si="13"/>
        <v>0</v>
      </c>
      <c r="I82" s="56">
        <f t="shared" si="14"/>
        <v>0</v>
      </c>
      <c r="J82" s="57">
        <f t="shared" si="15"/>
        <v>0</v>
      </c>
    </row>
    <row r="83" spans="1:10" x14ac:dyDescent="0.25">
      <c r="A83" s="59"/>
      <c r="B83" s="46"/>
      <c r="C83" s="44"/>
      <c r="D83" s="44"/>
      <c r="E83" s="45"/>
      <c r="F83" s="42">
        <v>18</v>
      </c>
      <c r="G83" s="56">
        <f t="shared" si="12"/>
        <v>0</v>
      </c>
      <c r="H83" s="56">
        <f t="shared" si="13"/>
        <v>0</v>
      </c>
      <c r="I83" s="56">
        <f t="shared" si="14"/>
        <v>0</v>
      </c>
      <c r="J83" s="57">
        <f t="shared" si="15"/>
        <v>0</v>
      </c>
    </row>
    <row r="84" spans="1:10" x14ac:dyDescent="0.25">
      <c r="A84" s="59"/>
      <c r="B84" s="46"/>
      <c r="C84" s="44"/>
      <c r="D84" s="44"/>
      <c r="E84" s="45"/>
      <c r="F84" s="42">
        <v>18</v>
      </c>
      <c r="G84" s="56">
        <f t="shared" si="12"/>
        <v>0</v>
      </c>
      <c r="H84" s="56">
        <f t="shared" si="13"/>
        <v>0</v>
      </c>
      <c r="I84" s="56">
        <f t="shared" si="14"/>
        <v>0</v>
      </c>
      <c r="J84" s="57">
        <f t="shared" si="15"/>
        <v>0</v>
      </c>
    </row>
    <row r="85" spans="1:10" x14ac:dyDescent="0.25">
      <c r="A85" s="59"/>
      <c r="B85" s="46"/>
      <c r="C85" s="44"/>
      <c r="D85" s="44"/>
      <c r="E85" s="45"/>
      <c r="F85" s="42">
        <v>18</v>
      </c>
      <c r="G85" s="56">
        <f t="shared" si="12"/>
        <v>0</v>
      </c>
      <c r="H85" s="56">
        <f t="shared" si="13"/>
        <v>0</v>
      </c>
      <c r="I85" s="56">
        <f t="shared" si="14"/>
        <v>0</v>
      </c>
      <c r="J85" s="57">
        <f t="shared" si="15"/>
        <v>0</v>
      </c>
    </row>
    <row r="86" spans="1:10" x14ac:dyDescent="0.25">
      <c r="A86" s="59"/>
      <c r="B86" s="46"/>
      <c r="C86" s="44"/>
      <c r="D86" s="44"/>
      <c r="E86" s="45"/>
      <c r="F86" s="42">
        <v>18</v>
      </c>
      <c r="G86" s="56">
        <f t="shared" si="12"/>
        <v>0</v>
      </c>
      <c r="H86" s="56">
        <f t="shared" si="13"/>
        <v>0</v>
      </c>
      <c r="I86" s="56">
        <f t="shared" si="14"/>
        <v>0</v>
      </c>
      <c r="J86" s="57">
        <f t="shared" si="15"/>
        <v>0</v>
      </c>
    </row>
    <row r="87" spans="1:10" x14ac:dyDescent="0.25">
      <c r="A87" s="59"/>
      <c r="B87" s="46"/>
      <c r="C87" s="44"/>
      <c r="D87" s="44"/>
      <c r="E87" s="45"/>
      <c r="F87" s="42">
        <v>18</v>
      </c>
      <c r="G87" s="56">
        <f t="shared" si="12"/>
        <v>0</v>
      </c>
      <c r="H87" s="56">
        <f t="shared" si="13"/>
        <v>0</v>
      </c>
      <c r="I87" s="56">
        <f t="shared" si="14"/>
        <v>0</v>
      </c>
      <c r="J87" s="57">
        <f t="shared" si="15"/>
        <v>0</v>
      </c>
    </row>
    <row r="88" spans="1:10" x14ac:dyDescent="0.25">
      <c r="A88" s="59"/>
      <c r="B88" s="46"/>
      <c r="C88" s="44"/>
      <c r="D88" s="44"/>
      <c r="E88" s="45"/>
      <c r="F88" s="42">
        <v>18</v>
      </c>
      <c r="G88" s="56">
        <f t="shared" si="12"/>
        <v>0</v>
      </c>
      <c r="H88" s="56">
        <f t="shared" si="13"/>
        <v>0</v>
      </c>
      <c r="I88" s="56">
        <f t="shared" si="14"/>
        <v>0</v>
      </c>
      <c r="J88" s="57">
        <f t="shared" si="15"/>
        <v>0</v>
      </c>
    </row>
    <row r="89" spans="1:10" x14ac:dyDescent="0.25">
      <c r="A89" s="59"/>
      <c r="B89" s="46"/>
      <c r="C89" s="44"/>
      <c r="D89" s="44"/>
      <c r="E89" s="45"/>
      <c r="F89" s="42">
        <v>18</v>
      </c>
      <c r="G89" s="56">
        <f t="shared" si="12"/>
        <v>0</v>
      </c>
      <c r="H89" s="56">
        <f t="shared" si="13"/>
        <v>0</v>
      </c>
      <c r="I89" s="56">
        <f t="shared" si="14"/>
        <v>0</v>
      </c>
      <c r="J89" s="57">
        <f t="shared" si="15"/>
        <v>0</v>
      </c>
    </row>
    <row r="90" spans="1:10" x14ac:dyDescent="0.25">
      <c r="A90" s="59"/>
      <c r="B90" s="46"/>
      <c r="C90" s="44"/>
      <c r="D90" s="44"/>
      <c r="E90" s="45"/>
      <c r="F90" s="42">
        <v>18</v>
      </c>
      <c r="G90" s="56">
        <f t="shared" si="12"/>
        <v>0</v>
      </c>
      <c r="H90" s="56">
        <f t="shared" si="13"/>
        <v>0</v>
      </c>
      <c r="I90" s="56">
        <f t="shared" si="14"/>
        <v>0</v>
      </c>
      <c r="J90" s="57">
        <f t="shared" si="15"/>
        <v>0</v>
      </c>
    </row>
    <row r="91" spans="1:10" x14ac:dyDescent="0.25">
      <c r="A91" s="59"/>
      <c r="B91" s="46"/>
      <c r="C91" s="44"/>
      <c r="D91" s="44"/>
      <c r="E91" s="45"/>
      <c r="F91" s="42">
        <v>18</v>
      </c>
      <c r="G91" s="56">
        <f t="shared" si="12"/>
        <v>0</v>
      </c>
      <c r="H91" s="56">
        <f t="shared" si="13"/>
        <v>0</v>
      </c>
      <c r="I91" s="56">
        <f t="shared" si="14"/>
        <v>0</v>
      </c>
      <c r="J91" s="57">
        <f t="shared" si="15"/>
        <v>0</v>
      </c>
    </row>
    <row r="92" spans="1:10" x14ac:dyDescent="0.25">
      <c r="A92" s="59"/>
      <c r="B92" s="46"/>
      <c r="C92" s="44"/>
      <c r="D92" s="44"/>
      <c r="E92" s="45"/>
      <c r="F92" s="42">
        <v>18</v>
      </c>
      <c r="G92" s="56">
        <f t="shared" si="12"/>
        <v>0</v>
      </c>
      <c r="H92" s="56">
        <f t="shared" si="13"/>
        <v>0</v>
      </c>
      <c r="I92" s="56">
        <f t="shared" si="14"/>
        <v>0</v>
      </c>
      <c r="J92" s="57">
        <f t="shared" si="15"/>
        <v>0</v>
      </c>
    </row>
    <row r="93" spans="1:10" x14ac:dyDescent="0.25">
      <c r="A93" s="59"/>
      <c r="B93" s="46"/>
      <c r="C93" s="44"/>
      <c r="D93" s="44"/>
      <c r="E93" s="45"/>
      <c r="F93" s="42">
        <v>18</v>
      </c>
      <c r="G93" s="56">
        <f t="shared" si="12"/>
        <v>0</v>
      </c>
      <c r="H93" s="56">
        <f t="shared" si="13"/>
        <v>0</v>
      </c>
      <c r="I93" s="56">
        <f t="shared" si="14"/>
        <v>0</v>
      </c>
      <c r="J93" s="57">
        <f t="shared" si="15"/>
        <v>0</v>
      </c>
    </row>
    <row r="94" spans="1:10" x14ac:dyDescent="0.25">
      <c r="A94" s="59"/>
      <c r="B94" s="46"/>
      <c r="C94" s="44"/>
      <c r="D94" s="44"/>
      <c r="E94" s="45"/>
      <c r="F94" s="42">
        <v>18</v>
      </c>
      <c r="G94" s="56">
        <f t="shared" si="12"/>
        <v>0</v>
      </c>
      <c r="H94" s="56">
        <f t="shared" si="13"/>
        <v>0</v>
      </c>
      <c r="I94" s="56">
        <f t="shared" si="14"/>
        <v>0</v>
      </c>
      <c r="J94" s="57">
        <f t="shared" si="15"/>
        <v>0</v>
      </c>
    </row>
    <row r="95" spans="1:10" x14ac:dyDescent="0.25">
      <c r="A95" s="59"/>
      <c r="B95" s="46"/>
      <c r="C95" s="44"/>
      <c r="D95" s="44"/>
      <c r="E95" s="45"/>
      <c r="F95" s="42">
        <v>18</v>
      </c>
      <c r="G95" s="56">
        <f t="shared" si="12"/>
        <v>0</v>
      </c>
      <c r="H95" s="56">
        <f t="shared" si="13"/>
        <v>0</v>
      </c>
      <c r="I95" s="56">
        <f t="shared" si="14"/>
        <v>0</v>
      </c>
      <c r="J95" s="57">
        <f t="shared" si="15"/>
        <v>0</v>
      </c>
    </row>
    <row r="96" spans="1:10" x14ac:dyDescent="0.25">
      <c r="A96" s="59"/>
      <c r="B96" s="46"/>
      <c r="C96" s="44"/>
      <c r="D96" s="44"/>
      <c r="E96" s="45"/>
      <c r="F96" s="42">
        <v>18</v>
      </c>
      <c r="G96" s="56">
        <f t="shared" si="12"/>
        <v>0</v>
      </c>
      <c r="H96" s="56">
        <f t="shared" si="13"/>
        <v>0</v>
      </c>
      <c r="I96" s="56">
        <f t="shared" si="14"/>
        <v>0</v>
      </c>
      <c r="J96" s="57">
        <f t="shared" si="15"/>
        <v>0</v>
      </c>
    </row>
    <row r="97" spans="1:10" x14ac:dyDescent="0.25">
      <c r="A97" s="59"/>
      <c r="B97" s="46"/>
      <c r="C97" s="44"/>
      <c r="D97" s="44"/>
      <c r="E97" s="45"/>
      <c r="F97" s="42">
        <v>18</v>
      </c>
      <c r="G97" s="56">
        <f t="shared" si="12"/>
        <v>0</v>
      </c>
      <c r="H97" s="56">
        <f t="shared" si="13"/>
        <v>0</v>
      </c>
      <c r="I97" s="56">
        <f t="shared" si="14"/>
        <v>0</v>
      </c>
      <c r="J97" s="57">
        <f t="shared" si="15"/>
        <v>0</v>
      </c>
    </row>
    <row r="98" spans="1:10" x14ac:dyDescent="0.25">
      <c r="A98" s="59"/>
      <c r="B98" s="46"/>
      <c r="C98" s="44"/>
      <c r="D98" s="44"/>
      <c r="E98" s="45"/>
      <c r="F98" s="42">
        <v>18</v>
      </c>
      <c r="G98" s="56">
        <f t="shared" si="12"/>
        <v>0</v>
      </c>
      <c r="H98" s="56">
        <f t="shared" si="13"/>
        <v>0</v>
      </c>
      <c r="I98" s="56">
        <f t="shared" si="14"/>
        <v>0</v>
      </c>
      <c r="J98" s="57">
        <f t="shared" si="15"/>
        <v>0</v>
      </c>
    </row>
    <row r="99" spans="1:10" x14ac:dyDescent="0.25">
      <c r="A99" s="59"/>
      <c r="B99" s="46"/>
      <c r="C99" s="44"/>
      <c r="D99" s="44"/>
      <c r="E99" s="45"/>
      <c r="F99" s="42">
        <v>18</v>
      </c>
      <c r="G99" s="56">
        <f t="shared" si="12"/>
        <v>0</v>
      </c>
      <c r="H99" s="56">
        <f t="shared" si="13"/>
        <v>0</v>
      </c>
      <c r="I99" s="56">
        <f t="shared" si="14"/>
        <v>0</v>
      </c>
      <c r="J99" s="57">
        <f t="shared" si="15"/>
        <v>0</v>
      </c>
    </row>
    <row r="100" spans="1:10" x14ac:dyDescent="0.25">
      <c r="A100" s="59"/>
      <c r="B100" s="46"/>
      <c r="C100" s="44"/>
      <c r="D100" s="44"/>
      <c r="E100" s="45"/>
      <c r="F100" s="42">
        <v>18</v>
      </c>
      <c r="G100" s="56">
        <f t="shared" si="12"/>
        <v>0</v>
      </c>
      <c r="H100" s="56">
        <f t="shared" si="13"/>
        <v>0</v>
      </c>
      <c r="I100" s="56">
        <f t="shared" si="14"/>
        <v>0</v>
      </c>
      <c r="J100" s="57">
        <f t="shared" si="15"/>
        <v>0</v>
      </c>
    </row>
    <row r="101" spans="1:10" x14ac:dyDescent="0.25">
      <c r="A101" s="59"/>
      <c r="B101" s="46"/>
      <c r="C101" s="44"/>
      <c r="D101" s="44"/>
      <c r="E101" s="45"/>
      <c r="F101" s="42">
        <v>18</v>
      </c>
      <c r="G101" s="56">
        <f t="shared" si="12"/>
        <v>0</v>
      </c>
      <c r="H101" s="56">
        <f t="shared" si="13"/>
        <v>0</v>
      </c>
      <c r="I101" s="56">
        <f t="shared" si="14"/>
        <v>0</v>
      </c>
      <c r="J101" s="57">
        <f t="shared" si="15"/>
        <v>0</v>
      </c>
    </row>
    <row r="102" spans="1:10" x14ac:dyDescent="0.25">
      <c r="A102" s="59"/>
      <c r="B102" s="46"/>
      <c r="C102" s="44"/>
      <c r="D102" s="44"/>
      <c r="E102" s="45"/>
      <c r="F102" s="42">
        <v>18</v>
      </c>
      <c r="G102" s="56">
        <f t="shared" si="12"/>
        <v>0</v>
      </c>
      <c r="H102" s="56">
        <f t="shared" si="13"/>
        <v>0</v>
      </c>
      <c r="I102" s="56">
        <f t="shared" si="14"/>
        <v>0</v>
      </c>
      <c r="J102" s="57">
        <f t="shared" si="15"/>
        <v>0</v>
      </c>
    </row>
    <row r="103" spans="1:10" x14ac:dyDescent="0.25">
      <c r="A103" s="59"/>
      <c r="B103" s="46"/>
      <c r="C103" s="44"/>
      <c r="D103" s="44"/>
      <c r="E103" s="45"/>
      <c r="F103" s="42">
        <v>18</v>
      </c>
      <c r="G103" s="56">
        <f t="shared" si="12"/>
        <v>0</v>
      </c>
      <c r="H103" s="56">
        <f t="shared" si="13"/>
        <v>0</v>
      </c>
      <c r="I103" s="56">
        <f t="shared" si="14"/>
        <v>0</v>
      </c>
      <c r="J103" s="57">
        <f t="shared" si="15"/>
        <v>0</v>
      </c>
    </row>
    <row r="104" spans="1:10" x14ac:dyDescent="0.25">
      <c r="A104" s="59"/>
      <c r="B104" s="46"/>
      <c r="C104" s="44"/>
      <c r="D104" s="44"/>
      <c r="E104" s="45"/>
      <c r="F104" s="42">
        <v>18</v>
      </c>
      <c r="G104" s="56">
        <f t="shared" si="12"/>
        <v>0</v>
      </c>
      <c r="H104" s="56">
        <f t="shared" si="13"/>
        <v>0</v>
      </c>
      <c r="I104" s="56">
        <f t="shared" si="14"/>
        <v>0</v>
      </c>
      <c r="J104" s="57">
        <f t="shared" si="15"/>
        <v>0</v>
      </c>
    </row>
    <row r="105" spans="1:10" x14ac:dyDescent="0.25">
      <c r="A105" s="59"/>
      <c r="B105" s="46"/>
      <c r="C105" s="44"/>
      <c r="D105" s="44"/>
      <c r="E105" s="45"/>
      <c r="F105" s="42">
        <v>18</v>
      </c>
      <c r="G105" s="56">
        <f t="shared" si="12"/>
        <v>0</v>
      </c>
      <c r="H105" s="56">
        <f t="shared" si="13"/>
        <v>0</v>
      </c>
      <c r="I105" s="56">
        <f t="shared" si="14"/>
        <v>0</v>
      </c>
      <c r="J105" s="57">
        <f t="shared" si="15"/>
        <v>0</v>
      </c>
    </row>
    <row r="106" spans="1:10" x14ac:dyDescent="0.25">
      <c r="A106" s="59"/>
      <c r="B106" s="46"/>
      <c r="C106" s="44"/>
      <c r="D106" s="44"/>
      <c r="E106" s="45"/>
      <c r="F106" s="42">
        <v>18</v>
      </c>
      <c r="G106" s="56">
        <f t="shared" si="12"/>
        <v>0</v>
      </c>
      <c r="H106" s="56">
        <f t="shared" si="13"/>
        <v>0</v>
      </c>
      <c r="I106" s="56">
        <f t="shared" si="14"/>
        <v>0</v>
      </c>
      <c r="J106" s="57">
        <f t="shared" si="15"/>
        <v>0</v>
      </c>
    </row>
    <row r="107" spans="1:10" x14ac:dyDescent="0.25">
      <c r="A107" s="59"/>
      <c r="B107" s="46"/>
      <c r="C107" s="44"/>
      <c r="D107" s="44"/>
      <c r="E107" s="45"/>
      <c r="F107" s="42">
        <v>18</v>
      </c>
      <c r="G107" s="56">
        <f t="shared" si="12"/>
        <v>0</v>
      </c>
      <c r="H107" s="56">
        <f t="shared" si="13"/>
        <v>0</v>
      </c>
      <c r="I107" s="56">
        <f t="shared" si="14"/>
        <v>0</v>
      </c>
      <c r="J107" s="57">
        <f t="shared" si="15"/>
        <v>0</v>
      </c>
    </row>
    <row r="108" spans="1:10" x14ac:dyDescent="0.25">
      <c r="A108" s="59"/>
      <c r="B108" s="46"/>
      <c r="C108" s="44"/>
      <c r="D108" s="44"/>
      <c r="E108" s="45"/>
      <c r="F108" s="42">
        <v>18</v>
      </c>
      <c r="G108" s="56">
        <f t="shared" si="12"/>
        <v>0</v>
      </c>
      <c r="H108" s="56">
        <f t="shared" si="13"/>
        <v>0</v>
      </c>
      <c r="I108" s="56">
        <f t="shared" si="14"/>
        <v>0</v>
      </c>
      <c r="J108" s="57">
        <f t="shared" si="15"/>
        <v>0</v>
      </c>
    </row>
    <row r="109" spans="1:10" x14ac:dyDescent="0.25">
      <c r="A109" s="59"/>
      <c r="B109" s="46"/>
      <c r="C109" s="44"/>
      <c r="D109" s="44"/>
      <c r="E109" s="45"/>
      <c r="F109" s="42">
        <v>18</v>
      </c>
      <c r="G109" s="56">
        <f t="shared" si="12"/>
        <v>0</v>
      </c>
      <c r="H109" s="56">
        <f t="shared" si="13"/>
        <v>0</v>
      </c>
      <c r="I109" s="56">
        <f t="shared" si="14"/>
        <v>0</v>
      </c>
      <c r="J109" s="57">
        <f t="shared" si="15"/>
        <v>0</v>
      </c>
    </row>
    <row r="110" spans="1:10" x14ac:dyDescent="0.25">
      <c r="A110" s="59"/>
      <c r="B110" s="46"/>
      <c r="C110" s="44"/>
      <c r="D110" s="44"/>
      <c r="E110" s="45"/>
      <c r="F110" s="42">
        <v>18</v>
      </c>
      <c r="G110" s="56">
        <f t="shared" si="12"/>
        <v>0</v>
      </c>
      <c r="H110" s="56">
        <f t="shared" si="13"/>
        <v>0</v>
      </c>
      <c r="I110" s="56">
        <f t="shared" si="14"/>
        <v>0</v>
      </c>
      <c r="J110" s="57">
        <f t="shared" si="15"/>
        <v>0</v>
      </c>
    </row>
    <row r="111" spans="1:10" x14ac:dyDescent="0.25">
      <c r="A111" s="59"/>
      <c r="B111" s="46"/>
      <c r="C111" s="44"/>
      <c r="D111" s="44"/>
      <c r="E111" s="45"/>
      <c r="F111" s="42">
        <v>18</v>
      </c>
      <c r="G111" s="56">
        <f t="shared" si="12"/>
        <v>0</v>
      </c>
      <c r="H111" s="56">
        <f t="shared" si="13"/>
        <v>0</v>
      </c>
      <c r="I111" s="56">
        <f t="shared" si="14"/>
        <v>0</v>
      </c>
      <c r="J111" s="57">
        <f t="shared" si="15"/>
        <v>0</v>
      </c>
    </row>
    <row r="112" spans="1:10" x14ac:dyDescent="0.25">
      <c r="A112" s="59"/>
      <c r="B112" s="46"/>
      <c r="C112" s="44"/>
      <c r="D112" s="44"/>
      <c r="E112" s="45"/>
      <c r="F112" s="42">
        <v>18</v>
      </c>
      <c r="G112" s="56">
        <f t="shared" si="12"/>
        <v>0</v>
      </c>
      <c r="H112" s="56">
        <f t="shared" si="13"/>
        <v>0</v>
      </c>
      <c r="I112" s="56">
        <f t="shared" si="14"/>
        <v>0</v>
      </c>
      <c r="J112" s="57">
        <f t="shared" si="15"/>
        <v>0</v>
      </c>
    </row>
    <row r="113" spans="1:10" x14ac:dyDescent="0.25">
      <c r="A113" s="59"/>
      <c r="B113" s="46"/>
      <c r="C113" s="44"/>
      <c r="D113" s="44"/>
      <c r="E113" s="45"/>
      <c r="F113" s="42">
        <v>18</v>
      </c>
      <c r="G113" s="56">
        <f t="shared" si="12"/>
        <v>0</v>
      </c>
      <c r="H113" s="56">
        <f t="shared" si="13"/>
        <v>0</v>
      </c>
      <c r="I113" s="56">
        <f t="shared" si="14"/>
        <v>0</v>
      </c>
      <c r="J113" s="57">
        <f t="shared" si="15"/>
        <v>0</v>
      </c>
    </row>
    <row r="114" spans="1:10" x14ac:dyDescent="0.25">
      <c r="A114" s="59"/>
      <c r="B114" s="46"/>
      <c r="C114" s="44"/>
      <c r="D114" s="44"/>
      <c r="E114" s="45"/>
      <c r="F114" s="42">
        <v>18</v>
      </c>
      <c r="G114" s="56">
        <f t="shared" si="12"/>
        <v>0</v>
      </c>
      <c r="H114" s="56">
        <f t="shared" si="13"/>
        <v>0</v>
      </c>
      <c r="I114" s="56">
        <f t="shared" si="14"/>
        <v>0</v>
      </c>
      <c r="J114" s="57">
        <f t="shared" si="15"/>
        <v>0</v>
      </c>
    </row>
    <row r="115" spans="1:10" x14ac:dyDescent="0.25">
      <c r="A115" s="59"/>
      <c r="B115" s="46"/>
      <c r="C115" s="44"/>
      <c r="D115" s="44"/>
      <c r="E115" s="45"/>
      <c r="F115" s="42">
        <v>18</v>
      </c>
      <c r="G115" s="56">
        <f t="shared" si="12"/>
        <v>0</v>
      </c>
      <c r="H115" s="56">
        <f t="shared" si="13"/>
        <v>0</v>
      </c>
      <c r="I115" s="56">
        <f t="shared" si="14"/>
        <v>0</v>
      </c>
      <c r="J115" s="57">
        <f t="shared" si="15"/>
        <v>0</v>
      </c>
    </row>
    <row r="116" spans="1:10" x14ac:dyDescent="0.25">
      <c r="A116" s="59"/>
      <c r="B116" s="46"/>
      <c r="C116" s="44"/>
      <c r="D116" s="44"/>
      <c r="E116" s="45"/>
      <c r="F116" s="42">
        <v>18</v>
      </c>
      <c r="G116" s="56">
        <f t="shared" si="12"/>
        <v>0</v>
      </c>
      <c r="H116" s="56">
        <f t="shared" si="13"/>
        <v>0</v>
      </c>
      <c r="I116" s="56">
        <f t="shared" si="14"/>
        <v>0</v>
      </c>
      <c r="J116" s="57">
        <f t="shared" si="15"/>
        <v>0</v>
      </c>
    </row>
    <row r="117" spans="1:10" x14ac:dyDescent="0.25">
      <c r="A117" s="59"/>
      <c r="B117" s="46"/>
      <c r="C117" s="44"/>
      <c r="D117" s="44"/>
      <c r="E117" s="45"/>
      <c r="F117" s="42">
        <v>18</v>
      </c>
      <c r="G117" s="56">
        <f t="shared" si="12"/>
        <v>0</v>
      </c>
      <c r="H117" s="56">
        <f t="shared" si="13"/>
        <v>0</v>
      </c>
      <c r="I117" s="56">
        <f t="shared" si="14"/>
        <v>0</v>
      </c>
      <c r="J117" s="57">
        <f t="shared" si="15"/>
        <v>0</v>
      </c>
    </row>
    <row r="118" spans="1:10" x14ac:dyDescent="0.25">
      <c r="A118" s="59"/>
      <c r="B118" s="46"/>
      <c r="C118" s="44"/>
      <c r="D118" s="44"/>
      <c r="E118" s="45"/>
      <c r="F118" s="42">
        <v>18</v>
      </c>
      <c r="G118" s="56">
        <f t="shared" si="12"/>
        <v>0</v>
      </c>
      <c r="H118" s="56">
        <f t="shared" si="13"/>
        <v>0</v>
      </c>
      <c r="I118" s="56">
        <f t="shared" si="14"/>
        <v>0</v>
      </c>
      <c r="J118" s="57">
        <f t="shared" si="15"/>
        <v>0</v>
      </c>
    </row>
    <row r="119" spans="1:10" x14ac:dyDescent="0.25">
      <c r="A119" s="59"/>
      <c r="B119" s="46"/>
      <c r="C119" s="44"/>
      <c r="D119" s="44"/>
      <c r="E119" s="45"/>
      <c r="F119" s="42">
        <v>18</v>
      </c>
      <c r="G119" s="56">
        <f t="shared" si="12"/>
        <v>0</v>
      </c>
      <c r="H119" s="56">
        <f t="shared" si="13"/>
        <v>0</v>
      </c>
      <c r="I119" s="56">
        <f t="shared" si="14"/>
        <v>0</v>
      </c>
      <c r="J119" s="57">
        <f t="shared" si="15"/>
        <v>0</v>
      </c>
    </row>
    <row r="120" spans="1:10" x14ac:dyDescent="0.25">
      <c r="A120" s="59"/>
      <c r="B120" s="46"/>
      <c r="C120" s="44"/>
      <c r="D120" s="44"/>
      <c r="E120" s="45"/>
      <c r="F120" s="42">
        <v>18</v>
      </c>
      <c r="G120" s="56">
        <f t="shared" si="12"/>
        <v>0</v>
      </c>
      <c r="H120" s="56">
        <f t="shared" si="13"/>
        <v>0</v>
      </c>
      <c r="I120" s="56">
        <f t="shared" si="14"/>
        <v>0</v>
      </c>
      <c r="J120" s="57">
        <f t="shared" si="15"/>
        <v>0</v>
      </c>
    </row>
    <row r="121" spans="1:10" x14ac:dyDescent="0.25">
      <c r="A121" s="59"/>
      <c r="B121" s="46"/>
      <c r="C121" s="44"/>
      <c r="D121" s="44"/>
      <c r="E121" s="45"/>
      <c r="F121" s="42">
        <v>18</v>
      </c>
      <c r="G121" s="56">
        <f t="shared" si="12"/>
        <v>0</v>
      </c>
      <c r="H121" s="56">
        <f t="shared" si="13"/>
        <v>0</v>
      </c>
      <c r="I121" s="56">
        <f t="shared" si="14"/>
        <v>0</v>
      </c>
      <c r="J121" s="57">
        <f t="shared" si="15"/>
        <v>0</v>
      </c>
    </row>
    <row r="122" spans="1:10" x14ac:dyDescent="0.25">
      <c r="A122" s="59"/>
      <c r="B122" s="46"/>
      <c r="C122" s="44"/>
      <c r="D122" s="44"/>
      <c r="E122" s="45"/>
      <c r="F122" s="42">
        <v>18</v>
      </c>
      <c r="G122" s="56">
        <f t="shared" si="12"/>
        <v>0</v>
      </c>
      <c r="H122" s="56">
        <f t="shared" si="13"/>
        <v>0</v>
      </c>
      <c r="I122" s="56">
        <f t="shared" si="14"/>
        <v>0</v>
      </c>
      <c r="J122" s="57">
        <f t="shared" si="15"/>
        <v>0</v>
      </c>
    </row>
    <row r="123" spans="1:10" x14ac:dyDescent="0.25">
      <c r="A123" s="59"/>
      <c r="B123" s="46"/>
      <c r="C123" s="44"/>
      <c r="D123" s="44"/>
      <c r="E123" s="45"/>
      <c r="F123" s="42">
        <v>18</v>
      </c>
      <c r="G123" s="56">
        <f t="shared" si="12"/>
        <v>0</v>
      </c>
      <c r="H123" s="56">
        <f t="shared" si="13"/>
        <v>0</v>
      </c>
      <c r="I123" s="56">
        <f t="shared" si="14"/>
        <v>0</v>
      </c>
      <c r="J123" s="57">
        <f t="shared" si="15"/>
        <v>0</v>
      </c>
    </row>
    <row r="124" spans="1:10" x14ac:dyDescent="0.25">
      <c r="A124" s="59"/>
      <c r="B124" s="46"/>
      <c r="C124" s="44"/>
      <c r="D124" s="44"/>
      <c r="E124" s="45"/>
      <c r="F124" s="42">
        <v>18</v>
      </c>
      <c r="G124" s="56">
        <f t="shared" si="12"/>
        <v>0</v>
      </c>
      <c r="H124" s="56">
        <f t="shared" si="13"/>
        <v>0</v>
      </c>
      <c r="I124" s="56">
        <f t="shared" si="14"/>
        <v>0</v>
      </c>
      <c r="J124" s="57">
        <f t="shared" si="15"/>
        <v>0</v>
      </c>
    </row>
    <row r="125" spans="1:10" x14ac:dyDescent="0.25">
      <c r="A125" s="59"/>
      <c r="B125" s="46"/>
      <c r="C125" s="44"/>
      <c r="D125" s="44"/>
      <c r="E125" s="45"/>
      <c r="F125" s="42">
        <v>18</v>
      </c>
      <c r="G125" s="56">
        <f t="shared" si="12"/>
        <v>0</v>
      </c>
      <c r="H125" s="56">
        <f t="shared" si="13"/>
        <v>0</v>
      </c>
      <c r="I125" s="56">
        <f t="shared" si="14"/>
        <v>0</v>
      </c>
      <c r="J125" s="57">
        <f t="shared" si="15"/>
        <v>0</v>
      </c>
    </row>
    <row r="126" spans="1:10" x14ac:dyDescent="0.25">
      <c r="A126" s="59"/>
      <c r="B126" s="46"/>
      <c r="C126" s="44"/>
      <c r="D126" s="44"/>
      <c r="E126" s="45"/>
      <c r="F126" s="42">
        <v>18</v>
      </c>
      <c r="G126" s="56">
        <f t="shared" si="12"/>
        <v>0</v>
      </c>
      <c r="H126" s="56">
        <f t="shared" si="13"/>
        <v>0</v>
      </c>
      <c r="I126" s="56">
        <f t="shared" si="14"/>
        <v>0</v>
      </c>
      <c r="J126" s="57">
        <f t="shared" si="15"/>
        <v>0</v>
      </c>
    </row>
    <row r="127" spans="1:10" x14ac:dyDescent="0.25">
      <c r="A127" s="59"/>
      <c r="B127" s="46"/>
      <c r="C127" s="44"/>
      <c r="D127" s="44"/>
      <c r="E127" s="45"/>
      <c r="F127" s="42">
        <v>18</v>
      </c>
      <c r="G127" s="56">
        <f t="shared" si="12"/>
        <v>0</v>
      </c>
      <c r="H127" s="56">
        <f t="shared" si="13"/>
        <v>0</v>
      </c>
      <c r="I127" s="56">
        <f t="shared" si="14"/>
        <v>0</v>
      </c>
      <c r="J127" s="57">
        <f t="shared" si="15"/>
        <v>0</v>
      </c>
    </row>
    <row r="128" spans="1:10" x14ac:dyDescent="0.25">
      <c r="A128" s="59"/>
      <c r="B128" s="46"/>
      <c r="C128" s="44"/>
      <c r="D128" s="44"/>
      <c r="E128" s="45"/>
      <c r="F128" s="42">
        <v>18</v>
      </c>
      <c r="G128" s="56">
        <f t="shared" si="12"/>
        <v>0</v>
      </c>
      <c r="H128" s="56">
        <f t="shared" si="13"/>
        <v>0</v>
      </c>
      <c r="I128" s="56">
        <f t="shared" si="14"/>
        <v>0</v>
      </c>
      <c r="J128" s="57">
        <f t="shared" si="15"/>
        <v>0</v>
      </c>
    </row>
    <row r="129" spans="1:10" x14ac:dyDescent="0.25">
      <c r="A129" s="59"/>
      <c r="B129" s="46"/>
      <c r="C129" s="44"/>
      <c r="D129" s="44"/>
      <c r="E129" s="45"/>
      <c r="F129" s="42">
        <v>18</v>
      </c>
      <c r="G129" s="56">
        <f t="shared" si="12"/>
        <v>0</v>
      </c>
      <c r="H129" s="56">
        <f t="shared" si="13"/>
        <v>0</v>
      </c>
      <c r="I129" s="56">
        <f t="shared" si="14"/>
        <v>0</v>
      </c>
      <c r="J129" s="57">
        <f t="shared" si="15"/>
        <v>0</v>
      </c>
    </row>
    <row r="130" spans="1:10" x14ac:dyDescent="0.25">
      <c r="A130" s="59"/>
      <c r="B130" s="46"/>
      <c r="C130" s="44"/>
      <c r="D130" s="44"/>
      <c r="E130" s="45"/>
      <c r="F130" s="42">
        <v>18</v>
      </c>
      <c r="G130" s="56">
        <f t="shared" si="12"/>
        <v>0</v>
      </c>
      <c r="H130" s="56">
        <f t="shared" si="13"/>
        <v>0</v>
      </c>
      <c r="I130" s="56">
        <f t="shared" si="14"/>
        <v>0</v>
      </c>
      <c r="J130" s="57">
        <f t="shared" si="15"/>
        <v>0</v>
      </c>
    </row>
    <row r="131" spans="1:10" x14ac:dyDescent="0.25">
      <c r="A131" s="59"/>
      <c r="B131" s="46"/>
      <c r="C131" s="44"/>
      <c r="D131" s="44"/>
      <c r="E131" s="45"/>
      <c r="F131" s="42">
        <v>18</v>
      </c>
      <c r="G131" s="56">
        <f t="shared" si="12"/>
        <v>0</v>
      </c>
      <c r="H131" s="56">
        <f t="shared" si="13"/>
        <v>0</v>
      </c>
      <c r="I131" s="56">
        <f t="shared" si="14"/>
        <v>0</v>
      </c>
      <c r="J131" s="57">
        <f t="shared" si="15"/>
        <v>0</v>
      </c>
    </row>
    <row r="132" spans="1:10" x14ac:dyDescent="0.25">
      <c r="A132" s="59"/>
      <c r="B132" s="46"/>
      <c r="C132" s="44"/>
      <c r="D132" s="44"/>
      <c r="E132" s="45"/>
      <c r="F132" s="42">
        <v>18</v>
      </c>
      <c r="G132" s="56">
        <f t="shared" si="12"/>
        <v>0</v>
      </c>
      <c r="H132" s="56">
        <f t="shared" si="13"/>
        <v>0</v>
      </c>
      <c r="I132" s="56">
        <f t="shared" si="14"/>
        <v>0</v>
      </c>
      <c r="J132" s="57">
        <f t="shared" si="15"/>
        <v>0</v>
      </c>
    </row>
    <row r="133" spans="1:10" x14ac:dyDescent="0.25">
      <c r="A133" s="59"/>
      <c r="B133" s="46"/>
      <c r="C133" s="44"/>
      <c r="D133" s="44"/>
      <c r="E133" s="45"/>
      <c r="F133" s="42">
        <v>18</v>
      </c>
      <c r="G133" s="56">
        <f t="shared" si="12"/>
        <v>0</v>
      </c>
      <c r="H133" s="56">
        <f t="shared" si="13"/>
        <v>0</v>
      </c>
      <c r="I133" s="56">
        <f t="shared" si="14"/>
        <v>0</v>
      </c>
      <c r="J133" s="57">
        <f t="shared" si="15"/>
        <v>0</v>
      </c>
    </row>
    <row r="134" spans="1:10" x14ac:dyDescent="0.25">
      <c r="A134" s="59"/>
      <c r="B134" s="46"/>
      <c r="C134" s="44"/>
      <c r="D134" s="44"/>
      <c r="E134" s="45"/>
      <c r="F134" s="42">
        <v>18</v>
      </c>
      <c r="G134" s="56">
        <f t="shared" si="12"/>
        <v>0</v>
      </c>
      <c r="H134" s="56">
        <f t="shared" si="13"/>
        <v>0</v>
      </c>
      <c r="I134" s="56">
        <f t="shared" si="14"/>
        <v>0</v>
      </c>
      <c r="J134" s="57">
        <f t="shared" si="15"/>
        <v>0</v>
      </c>
    </row>
    <row r="135" spans="1:10" x14ac:dyDescent="0.25">
      <c r="A135" s="59"/>
      <c r="B135" s="46"/>
      <c r="C135" s="44"/>
      <c r="D135" s="44"/>
      <c r="E135" s="45"/>
      <c r="F135" s="42">
        <v>18</v>
      </c>
      <c r="G135" s="56">
        <f t="shared" ref="G135:G198" si="16">ROUND((E135*F135%)/2,)</f>
        <v>0</v>
      </c>
      <c r="H135" s="56">
        <f t="shared" ref="H135:H198" si="17">G135</f>
        <v>0</v>
      </c>
      <c r="I135" s="56">
        <f t="shared" ref="I135:I198" si="18">G135+H135</f>
        <v>0</v>
      </c>
      <c r="J135" s="57">
        <f t="shared" ref="J135:J198" si="19">E135+I135</f>
        <v>0</v>
      </c>
    </row>
    <row r="136" spans="1:10" x14ac:dyDescent="0.25">
      <c r="A136" s="59"/>
      <c r="B136" s="46"/>
      <c r="C136" s="44"/>
      <c r="D136" s="44"/>
      <c r="E136" s="45"/>
      <c r="F136" s="42">
        <v>18</v>
      </c>
      <c r="G136" s="56">
        <f t="shared" si="16"/>
        <v>0</v>
      </c>
      <c r="H136" s="56">
        <f t="shared" si="17"/>
        <v>0</v>
      </c>
      <c r="I136" s="56">
        <f t="shared" si="18"/>
        <v>0</v>
      </c>
      <c r="J136" s="57">
        <f t="shared" si="19"/>
        <v>0</v>
      </c>
    </row>
    <row r="137" spans="1:10" x14ac:dyDescent="0.25">
      <c r="A137" s="59"/>
      <c r="B137" s="46"/>
      <c r="C137" s="44"/>
      <c r="D137" s="44"/>
      <c r="E137" s="45"/>
      <c r="F137" s="42">
        <v>18</v>
      </c>
      <c r="G137" s="56">
        <f t="shared" si="16"/>
        <v>0</v>
      </c>
      <c r="H137" s="56">
        <f t="shared" si="17"/>
        <v>0</v>
      </c>
      <c r="I137" s="56">
        <f t="shared" si="18"/>
        <v>0</v>
      </c>
      <c r="J137" s="57">
        <f t="shared" si="19"/>
        <v>0</v>
      </c>
    </row>
    <row r="138" spans="1:10" x14ac:dyDescent="0.25">
      <c r="A138" s="59"/>
      <c r="B138" s="46"/>
      <c r="C138" s="44"/>
      <c r="D138" s="44"/>
      <c r="E138" s="45"/>
      <c r="F138" s="42">
        <v>18</v>
      </c>
      <c r="G138" s="56">
        <f t="shared" si="16"/>
        <v>0</v>
      </c>
      <c r="H138" s="56">
        <f t="shared" si="17"/>
        <v>0</v>
      </c>
      <c r="I138" s="56">
        <f t="shared" si="18"/>
        <v>0</v>
      </c>
      <c r="J138" s="57">
        <f t="shared" si="19"/>
        <v>0</v>
      </c>
    </row>
    <row r="139" spans="1:10" x14ac:dyDescent="0.25">
      <c r="A139" s="59"/>
      <c r="B139" s="46"/>
      <c r="C139" s="44"/>
      <c r="D139" s="44"/>
      <c r="E139" s="45"/>
      <c r="F139" s="42">
        <v>18</v>
      </c>
      <c r="G139" s="56">
        <f t="shared" si="16"/>
        <v>0</v>
      </c>
      <c r="H139" s="56">
        <f t="shared" si="17"/>
        <v>0</v>
      </c>
      <c r="I139" s="56">
        <f t="shared" si="18"/>
        <v>0</v>
      </c>
      <c r="J139" s="57">
        <f t="shared" si="19"/>
        <v>0</v>
      </c>
    </row>
    <row r="140" spans="1:10" x14ac:dyDescent="0.25">
      <c r="A140" s="59"/>
      <c r="B140" s="46"/>
      <c r="C140" s="44"/>
      <c r="D140" s="44"/>
      <c r="E140" s="45"/>
      <c r="F140" s="42">
        <v>18</v>
      </c>
      <c r="G140" s="56">
        <f t="shared" si="16"/>
        <v>0</v>
      </c>
      <c r="H140" s="56">
        <f t="shared" si="17"/>
        <v>0</v>
      </c>
      <c r="I140" s="56">
        <f t="shared" si="18"/>
        <v>0</v>
      </c>
      <c r="J140" s="57">
        <f t="shared" si="19"/>
        <v>0</v>
      </c>
    </row>
    <row r="141" spans="1:10" x14ac:dyDescent="0.25">
      <c r="A141" s="59"/>
      <c r="B141" s="46"/>
      <c r="C141" s="44"/>
      <c r="D141" s="44"/>
      <c r="E141" s="45"/>
      <c r="F141" s="42">
        <v>18</v>
      </c>
      <c r="G141" s="56">
        <f t="shared" si="16"/>
        <v>0</v>
      </c>
      <c r="H141" s="56">
        <f t="shared" si="17"/>
        <v>0</v>
      </c>
      <c r="I141" s="56">
        <f t="shared" si="18"/>
        <v>0</v>
      </c>
      <c r="J141" s="57">
        <f t="shared" si="19"/>
        <v>0</v>
      </c>
    </row>
    <row r="142" spans="1:10" x14ac:dyDescent="0.25">
      <c r="A142" s="59"/>
      <c r="B142" s="46"/>
      <c r="C142" s="44"/>
      <c r="D142" s="44"/>
      <c r="E142" s="45"/>
      <c r="F142" s="42">
        <v>18</v>
      </c>
      <c r="G142" s="56">
        <f t="shared" si="16"/>
        <v>0</v>
      </c>
      <c r="H142" s="56">
        <f t="shared" si="17"/>
        <v>0</v>
      </c>
      <c r="I142" s="56">
        <f t="shared" si="18"/>
        <v>0</v>
      </c>
      <c r="J142" s="57">
        <f t="shared" si="19"/>
        <v>0</v>
      </c>
    </row>
    <row r="143" spans="1:10" x14ac:dyDescent="0.25">
      <c r="A143" s="59"/>
      <c r="B143" s="46"/>
      <c r="C143" s="44"/>
      <c r="D143" s="44"/>
      <c r="E143" s="45"/>
      <c r="F143" s="42">
        <v>18</v>
      </c>
      <c r="G143" s="56">
        <f t="shared" si="16"/>
        <v>0</v>
      </c>
      <c r="H143" s="56">
        <f t="shared" si="17"/>
        <v>0</v>
      </c>
      <c r="I143" s="56">
        <f t="shared" si="18"/>
        <v>0</v>
      </c>
      <c r="J143" s="57">
        <f t="shared" si="19"/>
        <v>0</v>
      </c>
    </row>
    <row r="144" spans="1:10" x14ac:dyDescent="0.25">
      <c r="A144" s="59"/>
      <c r="B144" s="46"/>
      <c r="C144" s="44"/>
      <c r="D144" s="44"/>
      <c r="E144" s="45"/>
      <c r="F144" s="42">
        <v>18</v>
      </c>
      <c r="G144" s="56">
        <f t="shared" si="16"/>
        <v>0</v>
      </c>
      <c r="H144" s="56">
        <f t="shared" si="17"/>
        <v>0</v>
      </c>
      <c r="I144" s="56">
        <f t="shared" si="18"/>
        <v>0</v>
      </c>
      <c r="J144" s="57">
        <f t="shared" si="19"/>
        <v>0</v>
      </c>
    </row>
    <row r="145" spans="1:10" x14ac:dyDescent="0.25">
      <c r="A145" s="59"/>
      <c r="B145" s="46"/>
      <c r="C145" s="44"/>
      <c r="D145" s="44"/>
      <c r="E145" s="45"/>
      <c r="F145" s="42">
        <v>18</v>
      </c>
      <c r="G145" s="56">
        <f t="shared" si="16"/>
        <v>0</v>
      </c>
      <c r="H145" s="56">
        <f t="shared" si="17"/>
        <v>0</v>
      </c>
      <c r="I145" s="56">
        <f t="shared" si="18"/>
        <v>0</v>
      </c>
      <c r="J145" s="57">
        <f t="shared" si="19"/>
        <v>0</v>
      </c>
    </row>
    <row r="146" spans="1:10" x14ac:dyDescent="0.25">
      <c r="A146" s="59"/>
      <c r="B146" s="46"/>
      <c r="C146" s="44"/>
      <c r="D146" s="44"/>
      <c r="E146" s="45"/>
      <c r="F146" s="42">
        <v>18</v>
      </c>
      <c r="G146" s="56">
        <f t="shared" si="16"/>
        <v>0</v>
      </c>
      <c r="H146" s="56">
        <f t="shared" si="17"/>
        <v>0</v>
      </c>
      <c r="I146" s="56">
        <f t="shared" si="18"/>
        <v>0</v>
      </c>
      <c r="J146" s="57">
        <f t="shared" si="19"/>
        <v>0</v>
      </c>
    </row>
    <row r="147" spans="1:10" x14ac:dyDescent="0.25">
      <c r="A147" s="59"/>
      <c r="B147" s="46"/>
      <c r="C147" s="44"/>
      <c r="D147" s="44"/>
      <c r="E147" s="45"/>
      <c r="F147" s="42">
        <v>18</v>
      </c>
      <c r="G147" s="56">
        <f t="shared" si="16"/>
        <v>0</v>
      </c>
      <c r="H147" s="56">
        <f t="shared" si="17"/>
        <v>0</v>
      </c>
      <c r="I147" s="56">
        <f t="shared" si="18"/>
        <v>0</v>
      </c>
      <c r="J147" s="57">
        <f t="shared" si="19"/>
        <v>0</v>
      </c>
    </row>
    <row r="148" spans="1:10" x14ac:dyDescent="0.25">
      <c r="A148" s="59"/>
      <c r="B148" s="46"/>
      <c r="C148" s="44"/>
      <c r="D148" s="44"/>
      <c r="E148" s="45"/>
      <c r="F148" s="42">
        <v>18</v>
      </c>
      <c r="G148" s="56">
        <f t="shared" si="16"/>
        <v>0</v>
      </c>
      <c r="H148" s="56">
        <f t="shared" si="17"/>
        <v>0</v>
      </c>
      <c r="I148" s="56">
        <f t="shared" si="18"/>
        <v>0</v>
      </c>
      <c r="J148" s="57">
        <f t="shared" si="19"/>
        <v>0</v>
      </c>
    </row>
    <row r="149" spans="1:10" x14ac:dyDescent="0.25">
      <c r="A149" s="59"/>
      <c r="B149" s="46"/>
      <c r="C149" s="44"/>
      <c r="D149" s="44"/>
      <c r="E149" s="45"/>
      <c r="F149" s="42">
        <v>18</v>
      </c>
      <c r="G149" s="56">
        <f t="shared" si="16"/>
        <v>0</v>
      </c>
      <c r="H149" s="56">
        <f t="shared" si="17"/>
        <v>0</v>
      </c>
      <c r="I149" s="56">
        <f t="shared" si="18"/>
        <v>0</v>
      </c>
      <c r="J149" s="57">
        <f t="shared" si="19"/>
        <v>0</v>
      </c>
    </row>
    <row r="150" spans="1:10" x14ac:dyDescent="0.25">
      <c r="A150" s="59"/>
      <c r="B150" s="46"/>
      <c r="C150" s="44"/>
      <c r="D150" s="44"/>
      <c r="E150" s="45"/>
      <c r="F150" s="42">
        <v>18</v>
      </c>
      <c r="G150" s="56">
        <f t="shared" si="16"/>
        <v>0</v>
      </c>
      <c r="H150" s="56">
        <f t="shared" si="17"/>
        <v>0</v>
      </c>
      <c r="I150" s="56">
        <f t="shared" si="18"/>
        <v>0</v>
      </c>
      <c r="J150" s="57">
        <f t="shared" si="19"/>
        <v>0</v>
      </c>
    </row>
    <row r="151" spans="1:10" x14ac:dyDescent="0.25">
      <c r="A151" s="59"/>
      <c r="B151" s="46"/>
      <c r="C151" s="44"/>
      <c r="D151" s="44"/>
      <c r="E151" s="45"/>
      <c r="F151" s="42">
        <v>18</v>
      </c>
      <c r="G151" s="56">
        <f t="shared" si="16"/>
        <v>0</v>
      </c>
      <c r="H151" s="56">
        <f t="shared" si="17"/>
        <v>0</v>
      </c>
      <c r="I151" s="56">
        <f t="shared" si="18"/>
        <v>0</v>
      </c>
      <c r="J151" s="57">
        <f t="shared" si="19"/>
        <v>0</v>
      </c>
    </row>
    <row r="152" spans="1:10" x14ac:dyDescent="0.25">
      <c r="A152" s="59"/>
      <c r="B152" s="46"/>
      <c r="C152" s="44"/>
      <c r="D152" s="44"/>
      <c r="E152" s="45"/>
      <c r="F152" s="42">
        <v>18</v>
      </c>
      <c r="G152" s="56">
        <f t="shared" si="16"/>
        <v>0</v>
      </c>
      <c r="H152" s="56">
        <f t="shared" si="17"/>
        <v>0</v>
      </c>
      <c r="I152" s="56">
        <f t="shared" si="18"/>
        <v>0</v>
      </c>
      <c r="J152" s="57">
        <f t="shared" si="19"/>
        <v>0</v>
      </c>
    </row>
    <row r="153" spans="1:10" x14ac:dyDescent="0.25">
      <c r="A153" s="59"/>
      <c r="B153" s="46"/>
      <c r="C153" s="44"/>
      <c r="D153" s="44"/>
      <c r="E153" s="45"/>
      <c r="F153" s="42">
        <v>18</v>
      </c>
      <c r="G153" s="56">
        <f t="shared" si="16"/>
        <v>0</v>
      </c>
      <c r="H153" s="56">
        <f t="shared" si="17"/>
        <v>0</v>
      </c>
      <c r="I153" s="56">
        <f t="shared" si="18"/>
        <v>0</v>
      </c>
      <c r="J153" s="57">
        <f t="shared" si="19"/>
        <v>0</v>
      </c>
    </row>
    <row r="154" spans="1:10" x14ac:dyDescent="0.25">
      <c r="A154" s="59"/>
      <c r="B154" s="46"/>
      <c r="C154" s="44"/>
      <c r="D154" s="44"/>
      <c r="E154" s="45"/>
      <c r="F154" s="42">
        <v>18</v>
      </c>
      <c r="G154" s="56">
        <f t="shared" si="16"/>
        <v>0</v>
      </c>
      <c r="H154" s="56">
        <f t="shared" si="17"/>
        <v>0</v>
      </c>
      <c r="I154" s="56">
        <f t="shared" si="18"/>
        <v>0</v>
      </c>
      <c r="J154" s="57">
        <f t="shared" si="19"/>
        <v>0</v>
      </c>
    </row>
    <row r="155" spans="1:10" x14ac:dyDescent="0.25">
      <c r="A155" s="59"/>
      <c r="B155" s="46"/>
      <c r="C155" s="44"/>
      <c r="D155" s="44"/>
      <c r="E155" s="45"/>
      <c r="F155" s="42">
        <v>18</v>
      </c>
      <c r="G155" s="56">
        <f t="shared" si="16"/>
        <v>0</v>
      </c>
      <c r="H155" s="56">
        <f t="shared" si="17"/>
        <v>0</v>
      </c>
      <c r="I155" s="56">
        <f t="shared" si="18"/>
        <v>0</v>
      </c>
      <c r="J155" s="57">
        <f t="shared" si="19"/>
        <v>0</v>
      </c>
    </row>
    <row r="156" spans="1:10" x14ac:dyDescent="0.25">
      <c r="A156" s="59"/>
      <c r="B156" s="46"/>
      <c r="C156" s="44"/>
      <c r="D156" s="44"/>
      <c r="E156" s="45"/>
      <c r="F156" s="42">
        <v>18</v>
      </c>
      <c r="G156" s="56">
        <f t="shared" si="16"/>
        <v>0</v>
      </c>
      <c r="H156" s="56">
        <f t="shared" si="17"/>
        <v>0</v>
      </c>
      <c r="I156" s="56">
        <f t="shared" si="18"/>
        <v>0</v>
      </c>
      <c r="J156" s="57">
        <f t="shared" si="19"/>
        <v>0</v>
      </c>
    </row>
    <row r="157" spans="1:10" x14ac:dyDescent="0.25">
      <c r="A157" s="59"/>
      <c r="B157" s="46"/>
      <c r="C157" s="44"/>
      <c r="D157" s="44"/>
      <c r="E157" s="45"/>
      <c r="F157" s="42">
        <v>18</v>
      </c>
      <c r="G157" s="56">
        <f t="shared" si="16"/>
        <v>0</v>
      </c>
      <c r="H157" s="56">
        <f t="shared" si="17"/>
        <v>0</v>
      </c>
      <c r="I157" s="56">
        <f t="shared" si="18"/>
        <v>0</v>
      </c>
      <c r="J157" s="57">
        <f t="shared" si="19"/>
        <v>0</v>
      </c>
    </row>
    <row r="158" spans="1:10" x14ac:dyDescent="0.25">
      <c r="A158" s="59"/>
      <c r="B158" s="46"/>
      <c r="C158" s="44"/>
      <c r="D158" s="44"/>
      <c r="E158" s="45"/>
      <c r="F158" s="42">
        <v>18</v>
      </c>
      <c r="G158" s="56">
        <f t="shared" si="16"/>
        <v>0</v>
      </c>
      <c r="H158" s="56">
        <f t="shared" si="17"/>
        <v>0</v>
      </c>
      <c r="I158" s="56">
        <f t="shared" si="18"/>
        <v>0</v>
      </c>
      <c r="J158" s="57">
        <f t="shared" si="19"/>
        <v>0</v>
      </c>
    </row>
    <row r="159" spans="1:10" x14ac:dyDescent="0.25">
      <c r="A159" s="59"/>
      <c r="B159" s="46"/>
      <c r="C159" s="44"/>
      <c r="D159" s="44"/>
      <c r="E159" s="45"/>
      <c r="F159" s="42">
        <v>18</v>
      </c>
      <c r="G159" s="56">
        <f t="shared" si="16"/>
        <v>0</v>
      </c>
      <c r="H159" s="56">
        <f t="shared" si="17"/>
        <v>0</v>
      </c>
      <c r="I159" s="56">
        <f t="shared" si="18"/>
        <v>0</v>
      </c>
      <c r="J159" s="57">
        <f t="shared" si="19"/>
        <v>0</v>
      </c>
    </row>
    <row r="160" spans="1:10" x14ac:dyDescent="0.25">
      <c r="A160" s="59"/>
      <c r="B160" s="46"/>
      <c r="C160" s="44"/>
      <c r="D160" s="44"/>
      <c r="E160" s="45"/>
      <c r="F160" s="42">
        <v>18</v>
      </c>
      <c r="G160" s="56">
        <f t="shared" si="16"/>
        <v>0</v>
      </c>
      <c r="H160" s="56">
        <f t="shared" si="17"/>
        <v>0</v>
      </c>
      <c r="I160" s="56">
        <f t="shared" si="18"/>
        <v>0</v>
      </c>
      <c r="J160" s="57">
        <f t="shared" si="19"/>
        <v>0</v>
      </c>
    </row>
    <row r="161" spans="1:10" x14ac:dyDescent="0.25">
      <c r="A161" s="59"/>
      <c r="B161" s="46"/>
      <c r="C161" s="44"/>
      <c r="D161" s="44"/>
      <c r="E161" s="45"/>
      <c r="F161" s="42">
        <v>18</v>
      </c>
      <c r="G161" s="56">
        <f t="shared" si="16"/>
        <v>0</v>
      </c>
      <c r="H161" s="56">
        <f t="shared" si="17"/>
        <v>0</v>
      </c>
      <c r="I161" s="56">
        <f t="shared" si="18"/>
        <v>0</v>
      </c>
      <c r="J161" s="57">
        <f t="shared" si="19"/>
        <v>0</v>
      </c>
    </row>
    <row r="162" spans="1:10" x14ac:dyDescent="0.25">
      <c r="A162" s="59"/>
      <c r="B162" s="46"/>
      <c r="C162" s="44"/>
      <c r="D162" s="44"/>
      <c r="E162" s="45"/>
      <c r="F162" s="42">
        <v>18</v>
      </c>
      <c r="G162" s="56">
        <f t="shared" si="16"/>
        <v>0</v>
      </c>
      <c r="H162" s="56">
        <f t="shared" si="17"/>
        <v>0</v>
      </c>
      <c r="I162" s="56">
        <f t="shared" si="18"/>
        <v>0</v>
      </c>
      <c r="J162" s="57">
        <f t="shared" si="19"/>
        <v>0</v>
      </c>
    </row>
    <row r="163" spans="1:10" x14ac:dyDescent="0.25">
      <c r="A163" s="59"/>
      <c r="B163" s="46"/>
      <c r="C163" s="44"/>
      <c r="D163" s="44"/>
      <c r="E163" s="45"/>
      <c r="F163" s="42">
        <v>18</v>
      </c>
      <c r="G163" s="56">
        <f t="shared" si="16"/>
        <v>0</v>
      </c>
      <c r="H163" s="56">
        <f t="shared" si="17"/>
        <v>0</v>
      </c>
      <c r="I163" s="56">
        <f t="shared" si="18"/>
        <v>0</v>
      </c>
      <c r="J163" s="57">
        <f t="shared" si="19"/>
        <v>0</v>
      </c>
    </row>
    <row r="164" spans="1:10" x14ac:dyDescent="0.25">
      <c r="A164" s="59"/>
      <c r="B164" s="46"/>
      <c r="C164" s="44"/>
      <c r="D164" s="44"/>
      <c r="E164" s="45"/>
      <c r="F164" s="42">
        <v>18</v>
      </c>
      <c r="G164" s="56">
        <f t="shared" si="16"/>
        <v>0</v>
      </c>
      <c r="H164" s="56">
        <f t="shared" si="17"/>
        <v>0</v>
      </c>
      <c r="I164" s="56">
        <f t="shared" si="18"/>
        <v>0</v>
      </c>
      <c r="J164" s="57">
        <f t="shared" si="19"/>
        <v>0</v>
      </c>
    </row>
    <row r="165" spans="1:10" x14ac:dyDescent="0.25">
      <c r="A165" s="59"/>
      <c r="B165" s="46"/>
      <c r="C165" s="44"/>
      <c r="D165" s="44"/>
      <c r="E165" s="45"/>
      <c r="F165" s="42">
        <v>18</v>
      </c>
      <c r="G165" s="56">
        <f t="shared" si="16"/>
        <v>0</v>
      </c>
      <c r="H165" s="56">
        <f t="shared" si="17"/>
        <v>0</v>
      </c>
      <c r="I165" s="56">
        <f t="shared" si="18"/>
        <v>0</v>
      </c>
      <c r="J165" s="57">
        <f t="shared" si="19"/>
        <v>0</v>
      </c>
    </row>
    <row r="166" spans="1:10" x14ac:dyDescent="0.25">
      <c r="A166" s="59"/>
      <c r="B166" s="46"/>
      <c r="C166" s="44"/>
      <c r="D166" s="44"/>
      <c r="E166" s="45"/>
      <c r="F166" s="42">
        <v>18</v>
      </c>
      <c r="G166" s="56">
        <f t="shared" si="16"/>
        <v>0</v>
      </c>
      <c r="H166" s="56">
        <f t="shared" si="17"/>
        <v>0</v>
      </c>
      <c r="I166" s="56">
        <f t="shared" si="18"/>
        <v>0</v>
      </c>
      <c r="J166" s="57">
        <f t="shared" si="19"/>
        <v>0</v>
      </c>
    </row>
    <row r="167" spans="1:10" x14ac:dyDescent="0.25">
      <c r="A167" s="59"/>
      <c r="B167" s="46"/>
      <c r="C167" s="44"/>
      <c r="D167" s="44"/>
      <c r="E167" s="45"/>
      <c r="F167" s="42">
        <v>18</v>
      </c>
      <c r="G167" s="56">
        <f t="shared" si="16"/>
        <v>0</v>
      </c>
      <c r="H167" s="56">
        <f t="shared" si="17"/>
        <v>0</v>
      </c>
      <c r="I167" s="56">
        <f t="shared" si="18"/>
        <v>0</v>
      </c>
      <c r="J167" s="57">
        <f t="shared" si="19"/>
        <v>0</v>
      </c>
    </row>
    <row r="168" spans="1:10" x14ac:dyDescent="0.25">
      <c r="A168" s="59"/>
      <c r="B168" s="46"/>
      <c r="C168" s="44"/>
      <c r="D168" s="44"/>
      <c r="E168" s="45"/>
      <c r="F168" s="42">
        <v>18</v>
      </c>
      <c r="G168" s="56">
        <f t="shared" si="16"/>
        <v>0</v>
      </c>
      <c r="H168" s="56">
        <f t="shared" si="17"/>
        <v>0</v>
      </c>
      <c r="I168" s="56">
        <f t="shared" si="18"/>
        <v>0</v>
      </c>
      <c r="J168" s="57">
        <f t="shared" si="19"/>
        <v>0</v>
      </c>
    </row>
    <row r="169" spans="1:10" x14ac:dyDescent="0.25">
      <c r="A169" s="59"/>
      <c r="B169" s="46"/>
      <c r="C169" s="44"/>
      <c r="D169" s="44"/>
      <c r="E169" s="45"/>
      <c r="F169" s="42">
        <v>18</v>
      </c>
      <c r="G169" s="56">
        <f t="shared" si="16"/>
        <v>0</v>
      </c>
      <c r="H169" s="56">
        <f t="shared" si="17"/>
        <v>0</v>
      </c>
      <c r="I169" s="56">
        <f t="shared" si="18"/>
        <v>0</v>
      </c>
      <c r="J169" s="57">
        <f t="shared" si="19"/>
        <v>0</v>
      </c>
    </row>
    <row r="170" spans="1:10" x14ac:dyDescent="0.25">
      <c r="A170" s="59"/>
      <c r="B170" s="46"/>
      <c r="C170" s="44"/>
      <c r="D170" s="44"/>
      <c r="E170" s="45"/>
      <c r="F170" s="42">
        <v>18</v>
      </c>
      <c r="G170" s="56">
        <f t="shared" si="16"/>
        <v>0</v>
      </c>
      <c r="H170" s="56">
        <f t="shared" si="17"/>
        <v>0</v>
      </c>
      <c r="I170" s="56">
        <f t="shared" si="18"/>
        <v>0</v>
      </c>
      <c r="J170" s="57">
        <f t="shared" si="19"/>
        <v>0</v>
      </c>
    </row>
    <row r="171" spans="1:10" x14ac:dyDescent="0.25">
      <c r="A171" s="59"/>
      <c r="B171" s="46"/>
      <c r="C171" s="44"/>
      <c r="D171" s="44"/>
      <c r="E171" s="45"/>
      <c r="F171" s="42">
        <v>18</v>
      </c>
      <c r="G171" s="56">
        <f t="shared" si="16"/>
        <v>0</v>
      </c>
      <c r="H171" s="56">
        <f t="shared" si="17"/>
        <v>0</v>
      </c>
      <c r="I171" s="56">
        <f t="shared" si="18"/>
        <v>0</v>
      </c>
      <c r="J171" s="57">
        <f t="shared" si="19"/>
        <v>0</v>
      </c>
    </row>
    <row r="172" spans="1:10" x14ac:dyDescent="0.25">
      <c r="A172" s="59"/>
      <c r="B172" s="46"/>
      <c r="C172" s="44"/>
      <c r="D172" s="44"/>
      <c r="E172" s="45"/>
      <c r="F172" s="42">
        <v>18</v>
      </c>
      <c r="G172" s="56">
        <f t="shared" si="16"/>
        <v>0</v>
      </c>
      <c r="H172" s="56">
        <f t="shared" si="17"/>
        <v>0</v>
      </c>
      <c r="I172" s="56">
        <f t="shared" si="18"/>
        <v>0</v>
      </c>
      <c r="J172" s="57">
        <f t="shared" si="19"/>
        <v>0</v>
      </c>
    </row>
    <row r="173" spans="1:10" x14ac:dyDescent="0.25">
      <c r="A173" s="59"/>
      <c r="B173" s="46"/>
      <c r="C173" s="44"/>
      <c r="D173" s="44"/>
      <c r="E173" s="45"/>
      <c r="F173" s="42">
        <v>18</v>
      </c>
      <c r="G173" s="56">
        <f t="shared" si="16"/>
        <v>0</v>
      </c>
      <c r="H173" s="56">
        <f t="shared" si="17"/>
        <v>0</v>
      </c>
      <c r="I173" s="56">
        <f t="shared" si="18"/>
        <v>0</v>
      </c>
      <c r="J173" s="57">
        <f t="shared" si="19"/>
        <v>0</v>
      </c>
    </row>
    <row r="174" spans="1:10" x14ac:dyDescent="0.25">
      <c r="A174" s="59"/>
      <c r="B174" s="46"/>
      <c r="C174" s="44"/>
      <c r="D174" s="44"/>
      <c r="E174" s="45"/>
      <c r="F174" s="42">
        <v>18</v>
      </c>
      <c r="G174" s="56">
        <f t="shared" si="16"/>
        <v>0</v>
      </c>
      <c r="H174" s="56">
        <f t="shared" si="17"/>
        <v>0</v>
      </c>
      <c r="I174" s="56">
        <f t="shared" si="18"/>
        <v>0</v>
      </c>
      <c r="J174" s="57">
        <f t="shared" si="19"/>
        <v>0</v>
      </c>
    </row>
    <row r="175" spans="1:10" x14ac:dyDescent="0.25">
      <c r="A175" s="59"/>
      <c r="B175" s="46"/>
      <c r="C175" s="44"/>
      <c r="D175" s="44"/>
      <c r="E175" s="45"/>
      <c r="F175" s="42">
        <v>18</v>
      </c>
      <c r="G175" s="56">
        <f t="shared" si="16"/>
        <v>0</v>
      </c>
      <c r="H175" s="56">
        <f t="shared" si="17"/>
        <v>0</v>
      </c>
      <c r="I175" s="56">
        <f t="shared" si="18"/>
        <v>0</v>
      </c>
      <c r="J175" s="57">
        <f t="shared" si="19"/>
        <v>0</v>
      </c>
    </row>
    <row r="176" spans="1:10" x14ac:dyDescent="0.25">
      <c r="A176" s="59"/>
      <c r="B176" s="46"/>
      <c r="C176" s="44"/>
      <c r="D176" s="44"/>
      <c r="E176" s="45"/>
      <c r="F176" s="42">
        <v>18</v>
      </c>
      <c r="G176" s="56">
        <f t="shared" si="16"/>
        <v>0</v>
      </c>
      <c r="H176" s="56">
        <f t="shared" si="17"/>
        <v>0</v>
      </c>
      <c r="I176" s="56">
        <f t="shared" si="18"/>
        <v>0</v>
      </c>
      <c r="J176" s="57">
        <f t="shared" si="19"/>
        <v>0</v>
      </c>
    </row>
    <row r="177" spans="1:10" x14ac:dyDescent="0.25">
      <c r="A177" s="59"/>
      <c r="B177" s="46"/>
      <c r="C177" s="44"/>
      <c r="D177" s="44"/>
      <c r="E177" s="45"/>
      <c r="F177" s="42">
        <v>18</v>
      </c>
      <c r="G177" s="56">
        <f t="shared" si="16"/>
        <v>0</v>
      </c>
      <c r="H177" s="56">
        <f t="shared" si="17"/>
        <v>0</v>
      </c>
      <c r="I177" s="56">
        <f t="shared" si="18"/>
        <v>0</v>
      </c>
      <c r="J177" s="57">
        <f t="shared" si="19"/>
        <v>0</v>
      </c>
    </row>
    <row r="178" spans="1:10" x14ac:dyDescent="0.25">
      <c r="A178" s="59"/>
      <c r="B178" s="46"/>
      <c r="C178" s="44"/>
      <c r="D178" s="44"/>
      <c r="E178" s="45"/>
      <c r="F178" s="42">
        <v>18</v>
      </c>
      <c r="G178" s="56">
        <f t="shared" si="16"/>
        <v>0</v>
      </c>
      <c r="H178" s="56">
        <f t="shared" si="17"/>
        <v>0</v>
      </c>
      <c r="I178" s="56">
        <f t="shared" si="18"/>
        <v>0</v>
      </c>
      <c r="J178" s="57">
        <f t="shared" si="19"/>
        <v>0</v>
      </c>
    </row>
    <row r="179" spans="1:10" x14ac:dyDescent="0.25">
      <c r="A179" s="59"/>
      <c r="B179" s="46"/>
      <c r="C179" s="44"/>
      <c r="D179" s="44"/>
      <c r="E179" s="45"/>
      <c r="F179" s="42">
        <v>18</v>
      </c>
      <c r="G179" s="56">
        <f t="shared" si="16"/>
        <v>0</v>
      </c>
      <c r="H179" s="56">
        <f t="shared" si="17"/>
        <v>0</v>
      </c>
      <c r="I179" s="56">
        <f t="shared" si="18"/>
        <v>0</v>
      </c>
      <c r="J179" s="57">
        <f t="shared" si="19"/>
        <v>0</v>
      </c>
    </row>
    <row r="180" spans="1:10" x14ac:dyDescent="0.25">
      <c r="A180" s="59"/>
      <c r="B180" s="46"/>
      <c r="C180" s="44"/>
      <c r="D180" s="44"/>
      <c r="E180" s="45"/>
      <c r="F180" s="42">
        <v>18</v>
      </c>
      <c r="G180" s="56">
        <f t="shared" si="16"/>
        <v>0</v>
      </c>
      <c r="H180" s="56">
        <f t="shared" si="17"/>
        <v>0</v>
      </c>
      <c r="I180" s="56">
        <f t="shared" si="18"/>
        <v>0</v>
      </c>
      <c r="J180" s="57">
        <f t="shared" si="19"/>
        <v>0</v>
      </c>
    </row>
    <row r="181" spans="1:10" x14ac:dyDescent="0.25">
      <c r="A181" s="59"/>
      <c r="B181" s="46"/>
      <c r="C181" s="44"/>
      <c r="D181" s="44"/>
      <c r="E181" s="45"/>
      <c r="F181" s="42">
        <v>18</v>
      </c>
      <c r="G181" s="56">
        <f t="shared" si="16"/>
        <v>0</v>
      </c>
      <c r="H181" s="56">
        <f t="shared" si="17"/>
        <v>0</v>
      </c>
      <c r="I181" s="56">
        <f t="shared" si="18"/>
        <v>0</v>
      </c>
      <c r="J181" s="57">
        <f t="shared" si="19"/>
        <v>0</v>
      </c>
    </row>
    <row r="182" spans="1:10" x14ac:dyDescent="0.25">
      <c r="A182" s="59"/>
      <c r="B182" s="46"/>
      <c r="C182" s="44"/>
      <c r="D182" s="44"/>
      <c r="E182" s="45"/>
      <c r="F182" s="42">
        <v>18</v>
      </c>
      <c r="G182" s="56">
        <f t="shared" si="16"/>
        <v>0</v>
      </c>
      <c r="H182" s="56">
        <f t="shared" si="17"/>
        <v>0</v>
      </c>
      <c r="I182" s="56">
        <f t="shared" si="18"/>
        <v>0</v>
      </c>
      <c r="J182" s="57">
        <f t="shared" si="19"/>
        <v>0</v>
      </c>
    </row>
    <row r="183" spans="1:10" x14ac:dyDescent="0.25">
      <c r="A183" s="59"/>
      <c r="B183" s="46"/>
      <c r="C183" s="44"/>
      <c r="D183" s="44"/>
      <c r="E183" s="45"/>
      <c r="F183" s="42">
        <v>18</v>
      </c>
      <c r="G183" s="56">
        <f t="shared" si="16"/>
        <v>0</v>
      </c>
      <c r="H183" s="56">
        <f t="shared" si="17"/>
        <v>0</v>
      </c>
      <c r="I183" s="56">
        <f t="shared" si="18"/>
        <v>0</v>
      </c>
      <c r="J183" s="57">
        <f t="shared" si="19"/>
        <v>0</v>
      </c>
    </row>
    <row r="184" spans="1:10" x14ac:dyDescent="0.25">
      <c r="A184" s="59"/>
      <c r="B184" s="46"/>
      <c r="C184" s="44"/>
      <c r="D184" s="44"/>
      <c r="E184" s="45"/>
      <c r="F184" s="42">
        <v>18</v>
      </c>
      <c r="G184" s="56">
        <f t="shared" si="16"/>
        <v>0</v>
      </c>
      <c r="H184" s="56">
        <f t="shared" si="17"/>
        <v>0</v>
      </c>
      <c r="I184" s="56">
        <f t="shared" si="18"/>
        <v>0</v>
      </c>
      <c r="J184" s="57">
        <f t="shared" si="19"/>
        <v>0</v>
      </c>
    </row>
    <row r="185" spans="1:10" x14ac:dyDescent="0.25">
      <c r="A185" s="59"/>
      <c r="B185" s="46"/>
      <c r="C185" s="44"/>
      <c r="D185" s="44"/>
      <c r="E185" s="45"/>
      <c r="F185" s="42">
        <v>18</v>
      </c>
      <c r="G185" s="56">
        <f t="shared" si="16"/>
        <v>0</v>
      </c>
      <c r="H185" s="56">
        <f t="shared" si="17"/>
        <v>0</v>
      </c>
      <c r="I185" s="56">
        <f t="shared" si="18"/>
        <v>0</v>
      </c>
      <c r="J185" s="57">
        <f t="shared" si="19"/>
        <v>0</v>
      </c>
    </row>
    <row r="186" spans="1:10" x14ac:dyDescent="0.25">
      <c r="A186" s="59"/>
      <c r="B186" s="46"/>
      <c r="C186" s="44"/>
      <c r="D186" s="44"/>
      <c r="E186" s="45"/>
      <c r="F186" s="42">
        <v>18</v>
      </c>
      <c r="G186" s="56">
        <f t="shared" si="16"/>
        <v>0</v>
      </c>
      <c r="H186" s="56">
        <f t="shared" si="17"/>
        <v>0</v>
      </c>
      <c r="I186" s="56">
        <f t="shared" si="18"/>
        <v>0</v>
      </c>
      <c r="J186" s="57">
        <f t="shared" si="19"/>
        <v>0</v>
      </c>
    </row>
    <row r="187" spans="1:10" x14ac:dyDescent="0.25">
      <c r="A187" s="59"/>
      <c r="B187" s="46"/>
      <c r="C187" s="44"/>
      <c r="D187" s="44"/>
      <c r="E187" s="45"/>
      <c r="F187" s="42">
        <v>18</v>
      </c>
      <c r="G187" s="56">
        <f t="shared" si="16"/>
        <v>0</v>
      </c>
      <c r="H187" s="56">
        <f t="shared" si="17"/>
        <v>0</v>
      </c>
      <c r="I187" s="56">
        <f t="shared" si="18"/>
        <v>0</v>
      </c>
      <c r="J187" s="57">
        <f t="shared" si="19"/>
        <v>0</v>
      </c>
    </row>
    <row r="188" spans="1:10" x14ac:dyDescent="0.25">
      <c r="A188" s="59"/>
      <c r="B188" s="46"/>
      <c r="C188" s="44"/>
      <c r="D188" s="44"/>
      <c r="E188" s="45"/>
      <c r="F188" s="42">
        <v>18</v>
      </c>
      <c r="G188" s="56">
        <f t="shared" si="16"/>
        <v>0</v>
      </c>
      <c r="H188" s="56">
        <f t="shared" si="17"/>
        <v>0</v>
      </c>
      <c r="I188" s="56">
        <f t="shared" si="18"/>
        <v>0</v>
      </c>
      <c r="J188" s="57">
        <f t="shared" si="19"/>
        <v>0</v>
      </c>
    </row>
    <row r="189" spans="1:10" x14ac:dyDescent="0.25">
      <c r="A189" s="59"/>
      <c r="B189" s="46"/>
      <c r="C189" s="44"/>
      <c r="D189" s="44"/>
      <c r="E189" s="45"/>
      <c r="F189" s="42">
        <v>18</v>
      </c>
      <c r="G189" s="56">
        <f t="shared" si="16"/>
        <v>0</v>
      </c>
      <c r="H189" s="56">
        <f t="shared" si="17"/>
        <v>0</v>
      </c>
      <c r="I189" s="56">
        <f t="shared" si="18"/>
        <v>0</v>
      </c>
      <c r="J189" s="57">
        <f t="shared" si="19"/>
        <v>0</v>
      </c>
    </row>
    <row r="190" spans="1:10" x14ac:dyDescent="0.25">
      <c r="A190" s="59"/>
      <c r="B190" s="46"/>
      <c r="C190" s="44"/>
      <c r="D190" s="44"/>
      <c r="E190" s="45"/>
      <c r="F190" s="42">
        <v>18</v>
      </c>
      <c r="G190" s="56">
        <f t="shared" si="16"/>
        <v>0</v>
      </c>
      <c r="H190" s="56">
        <f t="shared" si="17"/>
        <v>0</v>
      </c>
      <c r="I190" s="56">
        <f t="shared" si="18"/>
        <v>0</v>
      </c>
      <c r="J190" s="57">
        <f t="shared" si="19"/>
        <v>0</v>
      </c>
    </row>
    <row r="191" spans="1:10" x14ac:dyDescent="0.25">
      <c r="A191" s="59"/>
      <c r="B191" s="46"/>
      <c r="C191" s="44"/>
      <c r="D191" s="44"/>
      <c r="E191" s="45"/>
      <c r="F191" s="42">
        <v>18</v>
      </c>
      <c r="G191" s="56">
        <f t="shared" si="16"/>
        <v>0</v>
      </c>
      <c r="H191" s="56">
        <f t="shared" si="17"/>
        <v>0</v>
      </c>
      <c r="I191" s="56">
        <f t="shared" si="18"/>
        <v>0</v>
      </c>
      <c r="J191" s="57">
        <f t="shared" si="19"/>
        <v>0</v>
      </c>
    </row>
    <row r="192" spans="1:10" x14ac:dyDescent="0.25">
      <c r="A192" s="59"/>
      <c r="B192" s="46"/>
      <c r="C192" s="44"/>
      <c r="D192" s="44"/>
      <c r="E192" s="45"/>
      <c r="F192" s="42">
        <v>18</v>
      </c>
      <c r="G192" s="56">
        <f t="shared" si="16"/>
        <v>0</v>
      </c>
      <c r="H192" s="56">
        <f t="shared" si="17"/>
        <v>0</v>
      </c>
      <c r="I192" s="56">
        <f t="shared" si="18"/>
        <v>0</v>
      </c>
      <c r="J192" s="57">
        <f t="shared" si="19"/>
        <v>0</v>
      </c>
    </row>
    <row r="193" spans="1:10" x14ac:dyDescent="0.25">
      <c r="A193" s="59"/>
      <c r="B193" s="46"/>
      <c r="C193" s="44"/>
      <c r="D193" s="44"/>
      <c r="E193" s="45"/>
      <c r="F193" s="42">
        <v>18</v>
      </c>
      <c r="G193" s="56">
        <f t="shared" si="16"/>
        <v>0</v>
      </c>
      <c r="H193" s="56">
        <f t="shared" si="17"/>
        <v>0</v>
      </c>
      <c r="I193" s="56">
        <f t="shared" si="18"/>
        <v>0</v>
      </c>
      <c r="J193" s="57">
        <f t="shared" si="19"/>
        <v>0</v>
      </c>
    </row>
    <row r="194" spans="1:10" x14ac:dyDescent="0.25">
      <c r="A194" s="59"/>
      <c r="B194" s="46"/>
      <c r="C194" s="44"/>
      <c r="D194" s="44"/>
      <c r="E194" s="45"/>
      <c r="F194" s="42">
        <v>18</v>
      </c>
      <c r="G194" s="56">
        <f t="shared" si="16"/>
        <v>0</v>
      </c>
      <c r="H194" s="56">
        <f t="shared" si="17"/>
        <v>0</v>
      </c>
      <c r="I194" s="56">
        <f t="shared" si="18"/>
        <v>0</v>
      </c>
      <c r="J194" s="57">
        <f t="shared" si="19"/>
        <v>0</v>
      </c>
    </row>
    <row r="195" spans="1:10" x14ac:dyDescent="0.25">
      <c r="A195" s="59"/>
      <c r="B195" s="46"/>
      <c r="C195" s="44"/>
      <c r="D195" s="44"/>
      <c r="E195" s="45"/>
      <c r="F195" s="42">
        <v>18</v>
      </c>
      <c r="G195" s="56">
        <f t="shared" si="16"/>
        <v>0</v>
      </c>
      <c r="H195" s="56">
        <f t="shared" si="17"/>
        <v>0</v>
      </c>
      <c r="I195" s="56">
        <f t="shared" si="18"/>
        <v>0</v>
      </c>
      <c r="J195" s="57">
        <f t="shared" si="19"/>
        <v>0</v>
      </c>
    </row>
    <row r="196" spans="1:10" x14ac:dyDescent="0.25">
      <c r="A196" s="59"/>
      <c r="B196" s="46"/>
      <c r="C196" s="44"/>
      <c r="D196" s="44"/>
      <c r="E196" s="45"/>
      <c r="F196" s="42">
        <v>18</v>
      </c>
      <c r="G196" s="56">
        <f t="shared" si="16"/>
        <v>0</v>
      </c>
      <c r="H196" s="56">
        <f t="shared" si="17"/>
        <v>0</v>
      </c>
      <c r="I196" s="56">
        <f t="shared" si="18"/>
        <v>0</v>
      </c>
      <c r="J196" s="57">
        <f t="shared" si="19"/>
        <v>0</v>
      </c>
    </row>
    <row r="197" spans="1:10" x14ac:dyDescent="0.25">
      <c r="A197" s="59"/>
      <c r="B197" s="46"/>
      <c r="C197" s="44"/>
      <c r="D197" s="44"/>
      <c r="E197" s="45"/>
      <c r="F197" s="42">
        <v>18</v>
      </c>
      <c r="G197" s="56">
        <f t="shared" si="16"/>
        <v>0</v>
      </c>
      <c r="H197" s="56">
        <f t="shared" si="17"/>
        <v>0</v>
      </c>
      <c r="I197" s="56">
        <f t="shared" si="18"/>
        <v>0</v>
      </c>
      <c r="J197" s="57">
        <f t="shared" si="19"/>
        <v>0</v>
      </c>
    </row>
    <row r="198" spans="1:10" x14ac:dyDescent="0.25">
      <c r="A198" s="59"/>
      <c r="B198" s="46"/>
      <c r="C198" s="44"/>
      <c r="D198" s="44"/>
      <c r="E198" s="45"/>
      <c r="F198" s="42">
        <v>18</v>
      </c>
      <c r="G198" s="56">
        <f t="shared" si="16"/>
        <v>0</v>
      </c>
      <c r="H198" s="56">
        <f t="shared" si="17"/>
        <v>0</v>
      </c>
      <c r="I198" s="56">
        <f t="shared" si="18"/>
        <v>0</v>
      </c>
      <c r="J198" s="57">
        <f t="shared" si="19"/>
        <v>0</v>
      </c>
    </row>
    <row r="199" spans="1:10" x14ac:dyDescent="0.25">
      <c r="A199" s="59"/>
      <c r="B199" s="46"/>
      <c r="C199" s="44"/>
      <c r="D199" s="44"/>
      <c r="E199" s="45"/>
      <c r="F199" s="42">
        <v>18</v>
      </c>
      <c r="G199" s="56">
        <f t="shared" ref="G199:G262" si="20">ROUND((E199*F199%)/2,)</f>
        <v>0</v>
      </c>
      <c r="H199" s="56">
        <f t="shared" ref="H199:H262" si="21">G199</f>
        <v>0</v>
      </c>
      <c r="I199" s="56">
        <f t="shared" ref="I199:I262" si="22">G199+H199</f>
        <v>0</v>
      </c>
      <c r="J199" s="57">
        <f t="shared" ref="J199:J262" si="23">E199+I199</f>
        <v>0</v>
      </c>
    </row>
    <row r="200" spans="1:10" x14ac:dyDescent="0.25">
      <c r="A200" s="59"/>
      <c r="B200" s="46"/>
      <c r="C200" s="44"/>
      <c r="D200" s="44"/>
      <c r="E200" s="45"/>
      <c r="F200" s="42">
        <v>18</v>
      </c>
      <c r="G200" s="56">
        <f t="shared" si="20"/>
        <v>0</v>
      </c>
      <c r="H200" s="56">
        <f t="shared" si="21"/>
        <v>0</v>
      </c>
      <c r="I200" s="56">
        <f t="shared" si="22"/>
        <v>0</v>
      </c>
      <c r="J200" s="57">
        <f t="shared" si="23"/>
        <v>0</v>
      </c>
    </row>
    <row r="201" spans="1:10" x14ac:dyDescent="0.25">
      <c r="A201" s="59"/>
      <c r="B201" s="46"/>
      <c r="C201" s="44"/>
      <c r="D201" s="44"/>
      <c r="E201" s="45"/>
      <c r="F201" s="42">
        <v>18</v>
      </c>
      <c r="G201" s="56">
        <f t="shared" si="20"/>
        <v>0</v>
      </c>
      <c r="H201" s="56">
        <f t="shared" si="21"/>
        <v>0</v>
      </c>
      <c r="I201" s="56">
        <f t="shared" si="22"/>
        <v>0</v>
      </c>
      <c r="J201" s="57">
        <f t="shared" si="23"/>
        <v>0</v>
      </c>
    </row>
    <row r="202" spans="1:10" x14ac:dyDescent="0.25">
      <c r="A202" s="59"/>
      <c r="B202" s="46"/>
      <c r="C202" s="44"/>
      <c r="D202" s="44"/>
      <c r="E202" s="45"/>
      <c r="F202" s="42">
        <v>18</v>
      </c>
      <c r="G202" s="56">
        <f t="shared" si="20"/>
        <v>0</v>
      </c>
      <c r="H202" s="56">
        <f t="shared" si="21"/>
        <v>0</v>
      </c>
      <c r="I202" s="56">
        <f t="shared" si="22"/>
        <v>0</v>
      </c>
      <c r="J202" s="57">
        <f t="shared" si="23"/>
        <v>0</v>
      </c>
    </row>
    <row r="203" spans="1:10" x14ac:dyDescent="0.25">
      <c r="A203" s="59"/>
      <c r="B203" s="46"/>
      <c r="C203" s="44"/>
      <c r="D203" s="44"/>
      <c r="E203" s="45"/>
      <c r="F203" s="42">
        <v>18</v>
      </c>
      <c r="G203" s="56">
        <f t="shared" si="20"/>
        <v>0</v>
      </c>
      <c r="H203" s="56">
        <f t="shared" si="21"/>
        <v>0</v>
      </c>
      <c r="I203" s="56">
        <f t="shared" si="22"/>
        <v>0</v>
      </c>
      <c r="J203" s="57">
        <f t="shared" si="23"/>
        <v>0</v>
      </c>
    </row>
    <row r="204" spans="1:10" x14ac:dyDescent="0.25">
      <c r="A204" s="59"/>
      <c r="B204" s="46"/>
      <c r="C204" s="44"/>
      <c r="D204" s="44"/>
      <c r="E204" s="45"/>
      <c r="F204" s="42">
        <v>18</v>
      </c>
      <c r="G204" s="56">
        <f t="shared" si="20"/>
        <v>0</v>
      </c>
      <c r="H204" s="56">
        <f t="shared" si="21"/>
        <v>0</v>
      </c>
      <c r="I204" s="56">
        <f t="shared" si="22"/>
        <v>0</v>
      </c>
      <c r="J204" s="57">
        <f t="shared" si="23"/>
        <v>0</v>
      </c>
    </row>
    <row r="205" spans="1:10" x14ac:dyDescent="0.25">
      <c r="A205" s="59"/>
      <c r="B205" s="46"/>
      <c r="C205" s="44"/>
      <c r="D205" s="44"/>
      <c r="E205" s="45"/>
      <c r="F205" s="42">
        <v>18</v>
      </c>
      <c r="G205" s="56">
        <f t="shared" si="20"/>
        <v>0</v>
      </c>
      <c r="H205" s="56">
        <f t="shared" si="21"/>
        <v>0</v>
      </c>
      <c r="I205" s="56">
        <f t="shared" si="22"/>
        <v>0</v>
      </c>
      <c r="J205" s="57">
        <f t="shared" si="23"/>
        <v>0</v>
      </c>
    </row>
    <row r="206" spans="1:10" x14ac:dyDescent="0.25">
      <c r="A206" s="59"/>
      <c r="B206" s="46"/>
      <c r="C206" s="44"/>
      <c r="D206" s="44"/>
      <c r="E206" s="45"/>
      <c r="F206" s="42">
        <v>18</v>
      </c>
      <c r="G206" s="56">
        <f t="shared" si="20"/>
        <v>0</v>
      </c>
      <c r="H206" s="56">
        <f t="shared" si="21"/>
        <v>0</v>
      </c>
      <c r="I206" s="56">
        <f t="shared" si="22"/>
        <v>0</v>
      </c>
      <c r="J206" s="57">
        <f t="shared" si="23"/>
        <v>0</v>
      </c>
    </row>
    <row r="207" spans="1:10" x14ac:dyDescent="0.25">
      <c r="A207" s="59"/>
      <c r="B207" s="46"/>
      <c r="C207" s="44"/>
      <c r="D207" s="44"/>
      <c r="E207" s="45"/>
      <c r="F207" s="42">
        <v>18</v>
      </c>
      <c r="G207" s="56">
        <f t="shared" si="20"/>
        <v>0</v>
      </c>
      <c r="H207" s="56">
        <f t="shared" si="21"/>
        <v>0</v>
      </c>
      <c r="I207" s="56">
        <f t="shared" si="22"/>
        <v>0</v>
      </c>
      <c r="J207" s="57">
        <f t="shared" si="23"/>
        <v>0</v>
      </c>
    </row>
    <row r="208" spans="1:10" x14ac:dyDescent="0.25">
      <c r="A208" s="59"/>
      <c r="B208" s="46"/>
      <c r="C208" s="44"/>
      <c r="D208" s="44"/>
      <c r="E208" s="45"/>
      <c r="F208" s="42">
        <v>18</v>
      </c>
      <c r="G208" s="56">
        <f t="shared" si="20"/>
        <v>0</v>
      </c>
      <c r="H208" s="56">
        <f t="shared" si="21"/>
        <v>0</v>
      </c>
      <c r="I208" s="56">
        <f t="shared" si="22"/>
        <v>0</v>
      </c>
      <c r="J208" s="57">
        <f t="shared" si="23"/>
        <v>0</v>
      </c>
    </row>
    <row r="209" spans="1:10" x14ac:dyDescent="0.25">
      <c r="A209" s="59"/>
      <c r="B209" s="46"/>
      <c r="C209" s="44"/>
      <c r="D209" s="44"/>
      <c r="E209" s="45"/>
      <c r="F209" s="42">
        <v>18</v>
      </c>
      <c r="G209" s="56">
        <f t="shared" si="20"/>
        <v>0</v>
      </c>
      <c r="H209" s="56">
        <f t="shared" si="21"/>
        <v>0</v>
      </c>
      <c r="I209" s="56">
        <f t="shared" si="22"/>
        <v>0</v>
      </c>
      <c r="J209" s="57">
        <f t="shared" si="23"/>
        <v>0</v>
      </c>
    </row>
    <row r="210" spans="1:10" x14ac:dyDescent="0.25">
      <c r="A210" s="59"/>
      <c r="B210" s="46"/>
      <c r="C210" s="44"/>
      <c r="D210" s="44"/>
      <c r="E210" s="45"/>
      <c r="F210" s="42">
        <v>18</v>
      </c>
      <c r="G210" s="56">
        <f t="shared" si="20"/>
        <v>0</v>
      </c>
      <c r="H210" s="56">
        <f t="shared" si="21"/>
        <v>0</v>
      </c>
      <c r="I210" s="56">
        <f t="shared" si="22"/>
        <v>0</v>
      </c>
      <c r="J210" s="57">
        <f t="shared" si="23"/>
        <v>0</v>
      </c>
    </row>
    <row r="211" spans="1:10" x14ac:dyDescent="0.25">
      <c r="A211" s="59"/>
      <c r="B211" s="46"/>
      <c r="C211" s="44"/>
      <c r="D211" s="44"/>
      <c r="E211" s="45"/>
      <c r="F211" s="42">
        <v>18</v>
      </c>
      <c r="G211" s="56">
        <f t="shared" si="20"/>
        <v>0</v>
      </c>
      <c r="H211" s="56">
        <f t="shared" si="21"/>
        <v>0</v>
      </c>
      <c r="I211" s="56">
        <f t="shared" si="22"/>
        <v>0</v>
      </c>
      <c r="J211" s="57">
        <f t="shared" si="23"/>
        <v>0</v>
      </c>
    </row>
    <row r="212" spans="1:10" x14ac:dyDescent="0.25">
      <c r="A212" s="59"/>
      <c r="B212" s="46"/>
      <c r="C212" s="44"/>
      <c r="D212" s="44"/>
      <c r="E212" s="45"/>
      <c r="F212" s="42">
        <v>18</v>
      </c>
      <c r="G212" s="56">
        <f t="shared" si="20"/>
        <v>0</v>
      </c>
      <c r="H212" s="56">
        <f t="shared" si="21"/>
        <v>0</v>
      </c>
      <c r="I212" s="56">
        <f t="shared" si="22"/>
        <v>0</v>
      </c>
      <c r="J212" s="57">
        <f t="shared" si="23"/>
        <v>0</v>
      </c>
    </row>
    <row r="213" spans="1:10" x14ac:dyDescent="0.25">
      <c r="A213" s="59"/>
      <c r="B213" s="46"/>
      <c r="C213" s="44"/>
      <c r="D213" s="44"/>
      <c r="E213" s="45"/>
      <c r="F213" s="42">
        <v>18</v>
      </c>
      <c r="G213" s="56">
        <f t="shared" si="20"/>
        <v>0</v>
      </c>
      <c r="H213" s="56">
        <f t="shared" si="21"/>
        <v>0</v>
      </c>
      <c r="I213" s="56">
        <f t="shared" si="22"/>
        <v>0</v>
      </c>
      <c r="J213" s="57">
        <f t="shared" si="23"/>
        <v>0</v>
      </c>
    </row>
    <row r="214" spans="1:10" x14ac:dyDescent="0.25">
      <c r="A214" s="59"/>
      <c r="B214" s="46"/>
      <c r="C214" s="44"/>
      <c r="D214" s="44"/>
      <c r="E214" s="45"/>
      <c r="F214" s="42">
        <v>18</v>
      </c>
      <c r="G214" s="56">
        <f t="shared" si="20"/>
        <v>0</v>
      </c>
      <c r="H214" s="56">
        <f t="shared" si="21"/>
        <v>0</v>
      </c>
      <c r="I214" s="56">
        <f t="shared" si="22"/>
        <v>0</v>
      </c>
      <c r="J214" s="57">
        <f t="shared" si="23"/>
        <v>0</v>
      </c>
    </row>
    <row r="215" spans="1:10" x14ac:dyDescent="0.25">
      <c r="A215" s="59"/>
      <c r="B215" s="46"/>
      <c r="C215" s="44"/>
      <c r="D215" s="44"/>
      <c r="E215" s="45"/>
      <c r="F215" s="42">
        <v>18</v>
      </c>
      <c r="G215" s="56">
        <f t="shared" si="20"/>
        <v>0</v>
      </c>
      <c r="H215" s="56">
        <f t="shared" si="21"/>
        <v>0</v>
      </c>
      <c r="I215" s="56">
        <f t="shared" si="22"/>
        <v>0</v>
      </c>
      <c r="J215" s="57">
        <f t="shared" si="23"/>
        <v>0</v>
      </c>
    </row>
    <row r="216" spans="1:10" x14ac:dyDescent="0.25">
      <c r="A216" s="59"/>
      <c r="B216" s="46"/>
      <c r="C216" s="44"/>
      <c r="D216" s="44"/>
      <c r="E216" s="45"/>
      <c r="F216" s="42">
        <v>18</v>
      </c>
      <c r="G216" s="56">
        <f t="shared" si="20"/>
        <v>0</v>
      </c>
      <c r="H216" s="56">
        <f t="shared" si="21"/>
        <v>0</v>
      </c>
      <c r="I216" s="56">
        <f t="shared" si="22"/>
        <v>0</v>
      </c>
      <c r="J216" s="57">
        <f t="shared" si="23"/>
        <v>0</v>
      </c>
    </row>
    <row r="217" spans="1:10" x14ac:dyDescent="0.25">
      <c r="A217" s="59"/>
      <c r="B217" s="46"/>
      <c r="C217" s="44"/>
      <c r="D217" s="44"/>
      <c r="E217" s="45"/>
      <c r="F217" s="42">
        <v>18</v>
      </c>
      <c r="G217" s="56">
        <f t="shared" si="20"/>
        <v>0</v>
      </c>
      <c r="H217" s="56">
        <f t="shared" si="21"/>
        <v>0</v>
      </c>
      <c r="I217" s="56">
        <f t="shared" si="22"/>
        <v>0</v>
      </c>
      <c r="J217" s="57">
        <f t="shared" si="23"/>
        <v>0</v>
      </c>
    </row>
    <row r="218" spans="1:10" x14ac:dyDescent="0.25">
      <c r="A218" s="59"/>
      <c r="B218" s="46"/>
      <c r="C218" s="44"/>
      <c r="D218" s="44"/>
      <c r="E218" s="45"/>
      <c r="F218" s="42">
        <v>18</v>
      </c>
      <c r="G218" s="56">
        <f t="shared" si="20"/>
        <v>0</v>
      </c>
      <c r="H218" s="56">
        <f t="shared" si="21"/>
        <v>0</v>
      </c>
      <c r="I218" s="56">
        <f t="shared" si="22"/>
        <v>0</v>
      </c>
      <c r="J218" s="57">
        <f t="shared" si="23"/>
        <v>0</v>
      </c>
    </row>
    <row r="219" spans="1:10" x14ac:dyDescent="0.25">
      <c r="A219" s="59"/>
      <c r="B219" s="46"/>
      <c r="C219" s="44"/>
      <c r="D219" s="44"/>
      <c r="E219" s="45"/>
      <c r="F219" s="42">
        <v>18</v>
      </c>
      <c r="G219" s="56">
        <f t="shared" si="20"/>
        <v>0</v>
      </c>
      <c r="H219" s="56">
        <f t="shared" si="21"/>
        <v>0</v>
      </c>
      <c r="I219" s="56">
        <f t="shared" si="22"/>
        <v>0</v>
      </c>
      <c r="J219" s="57">
        <f t="shared" si="23"/>
        <v>0</v>
      </c>
    </row>
    <row r="220" spans="1:10" x14ac:dyDescent="0.25">
      <c r="A220" s="59"/>
      <c r="B220" s="46"/>
      <c r="C220" s="44"/>
      <c r="D220" s="44"/>
      <c r="E220" s="45"/>
      <c r="F220" s="42">
        <v>18</v>
      </c>
      <c r="G220" s="56">
        <f t="shared" si="20"/>
        <v>0</v>
      </c>
      <c r="H220" s="56">
        <f t="shared" si="21"/>
        <v>0</v>
      </c>
      <c r="I220" s="56">
        <f t="shared" si="22"/>
        <v>0</v>
      </c>
      <c r="J220" s="57">
        <f t="shared" si="23"/>
        <v>0</v>
      </c>
    </row>
    <row r="221" spans="1:10" x14ac:dyDescent="0.25">
      <c r="A221" s="59"/>
      <c r="B221" s="46"/>
      <c r="C221" s="44"/>
      <c r="D221" s="44"/>
      <c r="E221" s="45"/>
      <c r="F221" s="42">
        <v>18</v>
      </c>
      <c r="G221" s="56">
        <f t="shared" si="20"/>
        <v>0</v>
      </c>
      <c r="H221" s="56">
        <f t="shared" si="21"/>
        <v>0</v>
      </c>
      <c r="I221" s="56">
        <f t="shared" si="22"/>
        <v>0</v>
      </c>
      <c r="J221" s="57">
        <f t="shared" si="23"/>
        <v>0</v>
      </c>
    </row>
    <row r="222" spans="1:10" x14ac:dyDescent="0.25">
      <c r="A222" s="59"/>
      <c r="B222" s="46"/>
      <c r="C222" s="44"/>
      <c r="D222" s="44"/>
      <c r="E222" s="45"/>
      <c r="F222" s="42">
        <v>18</v>
      </c>
      <c r="G222" s="56">
        <f t="shared" si="20"/>
        <v>0</v>
      </c>
      <c r="H222" s="56">
        <f t="shared" si="21"/>
        <v>0</v>
      </c>
      <c r="I222" s="56">
        <f t="shared" si="22"/>
        <v>0</v>
      </c>
      <c r="J222" s="57">
        <f t="shared" si="23"/>
        <v>0</v>
      </c>
    </row>
    <row r="223" spans="1:10" x14ac:dyDescent="0.25">
      <c r="A223" s="59"/>
      <c r="B223" s="46"/>
      <c r="C223" s="44"/>
      <c r="D223" s="44"/>
      <c r="E223" s="45"/>
      <c r="F223" s="42">
        <v>18</v>
      </c>
      <c r="G223" s="56">
        <f t="shared" si="20"/>
        <v>0</v>
      </c>
      <c r="H223" s="56">
        <f t="shared" si="21"/>
        <v>0</v>
      </c>
      <c r="I223" s="56">
        <f t="shared" si="22"/>
        <v>0</v>
      </c>
      <c r="J223" s="57">
        <f t="shared" si="23"/>
        <v>0</v>
      </c>
    </row>
    <row r="224" spans="1:10" x14ac:dyDescent="0.25">
      <c r="A224" s="59"/>
      <c r="B224" s="46"/>
      <c r="C224" s="44"/>
      <c r="D224" s="44"/>
      <c r="E224" s="45"/>
      <c r="F224" s="42">
        <v>18</v>
      </c>
      <c r="G224" s="56">
        <f t="shared" si="20"/>
        <v>0</v>
      </c>
      <c r="H224" s="56">
        <f t="shared" si="21"/>
        <v>0</v>
      </c>
      <c r="I224" s="56">
        <f t="shared" si="22"/>
        <v>0</v>
      </c>
      <c r="J224" s="57">
        <f t="shared" si="23"/>
        <v>0</v>
      </c>
    </row>
    <row r="225" spans="1:10" x14ac:dyDescent="0.25">
      <c r="A225" s="59"/>
      <c r="B225" s="46"/>
      <c r="C225" s="44"/>
      <c r="D225" s="44"/>
      <c r="E225" s="45"/>
      <c r="F225" s="42">
        <v>18</v>
      </c>
      <c r="G225" s="56">
        <f t="shared" si="20"/>
        <v>0</v>
      </c>
      <c r="H225" s="56">
        <f t="shared" si="21"/>
        <v>0</v>
      </c>
      <c r="I225" s="56">
        <f t="shared" si="22"/>
        <v>0</v>
      </c>
      <c r="J225" s="57">
        <f t="shared" si="23"/>
        <v>0</v>
      </c>
    </row>
    <row r="226" spans="1:10" x14ac:dyDescent="0.25">
      <c r="A226" s="59"/>
      <c r="B226" s="46"/>
      <c r="C226" s="44"/>
      <c r="D226" s="44"/>
      <c r="E226" s="45"/>
      <c r="F226" s="42">
        <v>18</v>
      </c>
      <c r="G226" s="56">
        <f t="shared" si="20"/>
        <v>0</v>
      </c>
      <c r="H226" s="56">
        <f t="shared" si="21"/>
        <v>0</v>
      </c>
      <c r="I226" s="56">
        <f t="shared" si="22"/>
        <v>0</v>
      </c>
      <c r="J226" s="57">
        <f t="shared" si="23"/>
        <v>0</v>
      </c>
    </row>
    <row r="227" spans="1:10" x14ac:dyDescent="0.25">
      <c r="A227" s="59"/>
      <c r="B227" s="46"/>
      <c r="C227" s="44"/>
      <c r="D227" s="44"/>
      <c r="E227" s="45"/>
      <c r="F227" s="42">
        <v>18</v>
      </c>
      <c r="G227" s="56">
        <f t="shared" si="20"/>
        <v>0</v>
      </c>
      <c r="H227" s="56">
        <f t="shared" si="21"/>
        <v>0</v>
      </c>
      <c r="I227" s="56">
        <f t="shared" si="22"/>
        <v>0</v>
      </c>
      <c r="J227" s="57">
        <f t="shared" si="23"/>
        <v>0</v>
      </c>
    </row>
    <row r="228" spans="1:10" x14ac:dyDescent="0.25">
      <c r="A228" s="59"/>
      <c r="B228" s="46"/>
      <c r="C228" s="44"/>
      <c r="D228" s="44"/>
      <c r="E228" s="45"/>
      <c r="F228" s="42">
        <v>18</v>
      </c>
      <c r="G228" s="56">
        <f t="shared" si="20"/>
        <v>0</v>
      </c>
      <c r="H228" s="56">
        <f t="shared" si="21"/>
        <v>0</v>
      </c>
      <c r="I228" s="56">
        <f t="shared" si="22"/>
        <v>0</v>
      </c>
      <c r="J228" s="57">
        <f t="shared" si="23"/>
        <v>0</v>
      </c>
    </row>
    <row r="229" spans="1:10" x14ac:dyDescent="0.25">
      <c r="A229" s="59"/>
      <c r="B229" s="46"/>
      <c r="C229" s="44"/>
      <c r="D229" s="44"/>
      <c r="E229" s="45"/>
      <c r="F229" s="42">
        <v>18</v>
      </c>
      <c r="G229" s="56">
        <f t="shared" si="20"/>
        <v>0</v>
      </c>
      <c r="H229" s="56">
        <f t="shared" si="21"/>
        <v>0</v>
      </c>
      <c r="I229" s="56">
        <f t="shared" si="22"/>
        <v>0</v>
      </c>
      <c r="J229" s="57">
        <f t="shared" si="23"/>
        <v>0</v>
      </c>
    </row>
    <row r="230" spans="1:10" x14ac:dyDescent="0.25">
      <c r="A230" s="59"/>
      <c r="B230" s="46"/>
      <c r="C230" s="44"/>
      <c r="D230" s="44"/>
      <c r="E230" s="45"/>
      <c r="F230" s="42">
        <v>18</v>
      </c>
      <c r="G230" s="56">
        <f t="shared" si="20"/>
        <v>0</v>
      </c>
      <c r="H230" s="56">
        <f t="shared" si="21"/>
        <v>0</v>
      </c>
      <c r="I230" s="56">
        <f t="shared" si="22"/>
        <v>0</v>
      </c>
      <c r="J230" s="57">
        <f t="shared" si="23"/>
        <v>0</v>
      </c>
    </row>
    <row r="231" spans="1:10" x14ac:dyDescent="0.25">
      <c r="A231" s="59"/>
      <c r="B231" s="46"/>
      <c r="C231" s="44"/>
      <c r="D231" s="44"/>
      <c r="E231" s="45"/>
      <c r="F231" s="42">
        <v>18</v>
      </c>
      <c r="G231" s="56">
        <f t="shared" si="20"/>
        <v>0</v>
      </c>
      <c r="H231" s="56">
        <f t="shared" si="21"/>
        <v>0</v>
      </c>
      <c r="I231" s="56">
        <f t="shared" si="22"/>
        <v>0</v>
      </c>
      <c r="J231" s="57">
        <f t="shared" si="23"/>
        <v>0</v>
      </c>
    </row>
    <row r="232" spans="1:10" x14ac:dyDescent="0.25">
      <c r="A232" s="59"/>
      <c r="B232" s="46"/>
      <c r="C232" s="44"/>
      <c r="D232" s="44"/>
      <c r="E232" s="45"/>
      <c r="F232" s="42">
        <v>18</v>
      </c>
      <c r="G232" s="56">
        <f t="shared" si="20"/>
        <v>0</v>
      </c>
      <c r="H232" s="56">
        <f t="shared" si="21"/>
        <v>0</v>
      </c>
      <c r="I232" s="56">
        <f t="shared" si="22"/>
        <v>0</v>
      </c>
      <c r="J232" s="57">
        <f t="shared" si="23"/>
        <v>0</v>
      </c>
    </row>
    <row r="233" spans="1:10" x14ac:dyDescent="0.25">
      <c r="A233" s="59"/>
      <c r="B233" s="46"/>
      <c r="C233" s="44"/>
      <c r="D233" s="44"/>
      <c r="E233" s="45"/>
      <c r="F233" s="42">
        <v>18</v>
      </c>
      <c r="G233" s="56">
        <f t="shared" si="20"/>
        <v>0</v>
      </c>
      <c r="H233" s="56">
        <f t="shared" si="21"/>
        <v>0</v>
      </c>
      <c r="I233" s="56">
        <f t="shared" si="22"/>
        <v>0</v>
      </c>
      <c r="J233" s="57">
        <f t="shared" si="23"/>
        <v>0</v>
      </c>
    </row>
    <row r="234" spans="1:10" x14ac:dyDescent="0.25">
      <c r="A234" s="59"/>
      <c r="B234" s="46"/>
      <c r="C234" s="44"/>
      <c r="D234" s="44"/>
      <c r="E234" s="45"/>
      <c r="F234" s="42">
        <v>18</v>
      </c>
      <c r="G234" s="56">
        <f t="shared" si="20"/>
        <v>0</v>
      </c>
      <c r="H234" s="56">
        <f t="shared" si="21"/>
        <v>0</v>
      </c>
      <c r="I234" s="56">
        <f t="shared" si="22"/>
        <v>0</v>
      </c>
      <c r="J234" s="57">
        <f t="shared" si="23"/>
        <v>0</v>
      </c>
    </row>
    <row r="235" spans="1:10" x14ac:dyDescent="0.25">
      <c r="A235" s="59"/>
      <c r="B235" s="46"/>
      <c r="C235" s="44"/>
      <c r="D235" s="44"/>
      <c r="E235" s="45"/>
      <c r="F235" s="42">
        <v>18</v>
      </c>
      <c r="G235" s="56">
        <f t="shared" si="20"/>
        <v>0</v>
      </c>
      <c r="H235" s="56">
        <f t="shared" si="21"/>
        <v>0</v>
      </c>
      <c r="I235" s="56">
        <f t="shared" si="22"/>
        <v>0</v>
      </c>
      <c r="J235" s="57">
        <f t="shared" si="23"/>
        <v>0</v>
      </c>
    </row>
    <row r="236" spans="1:10" x14ac:dyDescent="0.25">
      <c r="A236" s="59"/>
      <c r="B236" s="46"/>
      <c r="C236" s="44"/>
      <c r="D236" s="44"/>
      <c r="E236" s="45"/>
      <c r="F236" s="42">
        <v>18</v>
      </c>
      <c r="G236" s="56">
        <f t="shared" si="20"/>
        <v>0</v>
      </c>
      <c r="H236" s="56">
        <f t="shared" si="21"/>
        <v>0</v>
      </c>
      <c r="I236" s="56">
        <f t="shared" si="22"/>
        <v>0</v>
      </c>
      <c r="J236" s="57">
        <f t="shared" si="23"/>
        <v>0</v>
      </c>
    </row>
    <row r="237" spans="1:10" x14ac:dyDescent="0.25">
      <c r="A237" s="59"/>
      <c r="B237" s="46"/>
      <c r="C237" s="44"/>
      <c r="D237" s="44"/>
      <c r="E237" s="45"/>
      <c r="F237" s="42">
        <v>18</v>
      </c>
      <c r="G237" s="56">
        <f t="shared" si="20"/>
        <v>0</v>
      </c>
      <c r="H237" s="56">
        <f t="shared" si="21"/>
        <v>0</v>
      </c>
      <c r="I237" s="56">
        <f t="shared" si="22"/>
        <v>0</v>
      </c>
      <c r="J237" s="57">
        <f t="shared" si="23"/>
        <v>0</v>
      </c>
    </row>
    <row r="238" spans="1:10" x14ac:dyDescent="0.25">
      <c r="A238" s="59"/>
      <c r="B238" s="46"/>
      <c r="C238" s="44"/>
      <c r="D238" s="44"/>
      <c r="E238" s="45"/>
      <c r="F238" s="42">
        <v>18</v>
      </c>
      <c r="G238" s="56">
        <f t="shared" si="20"/>
        <v>0</v>
      </c>
      <c r="H238" s="56">
        <f t="shared" si="21"/>
        <v>0</v>
      </c>
      <c r="I238" s="56">
        <f t="shared" si="22"/>
        <v>0</v>
      </c>
      <c r="J238" s="57">
        <f t="shared" si="23"/>
        <v>0</v>
      </c>
    </row>
    <row r="239" spans="1:10" x14ac:dyDescent="0.25">
      <c r="A239" s="59"/>
      <c r="B239" s="46"/>
      <c r="C239" s="44"/>
      <c r="D239" s="44"/>
      <c r="E239" s="45"/>
      <c r="F239" s="42">
        <v>18</v>
      </c>
      <c r="G239" s="56">
        <f t="shared" si="20"/>
        <v>0</v>
      </c>
      <c r="H239" s="56">
        <f t="shared" si="21"/>
        <v>0</v>
      </c>
      <c r="I239" s="56">
        <f t="shared" si="22"/>
        <v>0</v>
      </c>
      <c r="J239" s="57">
        <f t="shared" si="23"/>
        <v>0</v>
      </c>
    </row>
    <row r="240" spans="1:10" x14ac:dyDescent="0.25">
      <c r="A240" s="59"/>
      <c r="B240" s="46"/>
      <c r="C240" s="44"/>
      <c r="D240" s="44"/>
      <c r="E240" s="45"/>
      <c r="F240" s="42">
        <v>18</v>
      </c>
      <c r="G240" s="56">
        <f t="shared" si="20"/>
        <v>0</v>
      </c>
      <c r="H240" s="56">
        <f t="shared" si="21"/>
        <v>0</v>
      </c>
      <c r="I240" s="56">
        <f t="shared" si="22"/>
        <v>0</v>
      </c>
      <c r="J240" s="57">
        <f t="shared" si="23"/>
        <v>0</v>
      </c>
    </row>
    <row r="241" spans="1:10" x14ac:dyDescent="0.25">
      <c r="A241" s="59"/>
      <c r="B241" s="46"/>
      <c r="C241" s="44"/>
      <c r="D241" s="44"/>
      <c r="E241" s="45"/>
      <c r="F241" s="42">
        <v>18</v>
      </c>
      <c r="G241" s="56">
        <f t="shared" si="20"/>
        <v>0</v>
      </c>
      <c r="H241" s="56">
        <f t="shared" si="21"/>
        <v>0</v>
      </c>
      <c r="I241" s="56">
        <f t="shared" si="22"/>
        <v>0</v>
      </c>
      <c r="J241" s="57">
        <f t="shared" si="23"/>
        <v>0</v>
      </c>
    </row>
    <row r="242" spans="1:10" x14ac:dyDescent="0.25">
      <c r="A242" s="59"/>
      <c r="B242" s="46"/>
      <c r="C242" s="44"/>
      <c r="D242" s="44"/>
      <c r="E242" s="45"/>
      <c r="F242" s="42">
        <v>18</v>
      </c>
      <c r="G242" s="56">
        <f t="shared" si="20"/>
        <v>0</v>
      </c>
      <c r="H242" s="56">
        <f t="shared" si="21"/>
        <v>0</v>
      </c>
      <c r="I242" s="56">
        <f t="shared" si="22"/>
        <v>0</v>
      </c>
      <c r="J242" s="57">
        <f t="shared" si="23"/>
        <v>0</v>
      </c>
    </row>
    <row r="243" spans="1:10" x14ac:dyDescent="0.25">
      <c r="A243" s="59"/>
      <c r="B243" s="46"/>
      <c r="C243" s="44"/>
      <c r="D243" s="44"/>
      <c r="E243" s="45"/>
      <c r="F243" s="42">
        <v>18</v>
      </c>
      <c r="G243" s="56">
        <f t="shared" si="20"/>
        <v>0</v>
      </c>
      <c r="H243" s="56">
        <f t="shared" si="21"/>
        <v>0</v>
      </c>
      <c r="I243" s="56">
        <f t="shared" si="22"/>
        <v>0</v>
      </c>
      <c r="J243" s="57">
        <f t="shared" si="23"/>
        <v>0</v>
      </c>
    </row>
    <row r="244" spans="1:10" x14ac:dyDescent="0.25">
      <c r="A244" s="59"/>
      <c r="B244" s="46"/>
      <c r="C244" s="44"/>
      <c r="D244" s="44"/>
      <c r="E244" s="45"/>
      <c r="F244" s="42">
        <v>18</v>
      </c>
      <c r="G244" s="56">
        <f t="shared" si="20"/>
        <v>0</v>
      </c>
      <c r="H244" s="56">
        <f t="shared" si="21"/>
        <v>0</v>
      </c>
      <c r="I244" s="56">
        <f t="shared" si="22"/>
        <v>0</v>
      </c>
      <c r="J244" s="57">
        <f t="shared" si="23"/>
        <v>0</v>
      </c>
    </row>
    <row r="245" spans="1:10" x14ac:dyDescent="0.25">
      <c r="A245" s="59"/>
      <c r="B245" s="46"/>
      <c r="C245" s="44"/>
      <c r="D245" s="44"/>
      <c r="E245" s="45"/>
      <c r="F245" s="42">
        <v>18</v>
      </c>
      <c r="G245" s="56">
        <f t="shared" si="20"/>
        <v>0</v>
      </c>
      <c r="H245" s="56">
        <f t="shared" si="21"/>
        <v>0</v>
      </c>
      <c r="I245" s="56">
        <f t="shared" si="22"/>
        <v>0</v>
      </c>
      <c r="J245" s="57">
        <f t="shared" si="23"/>
        <v>0</v>
      </c>
    </row>
    <row r="246" spans="1:10" x14ac:dyDescent="0.25">
      <c r="A246" s="59"/>
      <c r="B246" s="46"/>
      <c r="C246" s="44"/>
      <c r="D246" s="44"/>
      <c r="E246" s="45"/>
      <c r="F246" s="42">
        <v>18</v>
      </c>
      <c r="G246" s="56">
        <f t="shared" si="20"/>
        <v>0</v>
      </c>
      <c r="H246" s="56">
        <f t="shared" si="21"/>
        <v>0</v>
      </c>
      <c r="I246" s="56">
        <f t="shared" si="22"/>
        <v>0</v>
      </c>
      <c r="J246" s="57">
        <f t="shared" si="23"/>
        <v>0</v>
      </c>
    </row>
    <row r="247" spans="1:10" x14ac:dyDescent="0.25">
      <c r="A247" s="59"/>
      <c r="B247" s="46"/>
      <c r="C247" s="44"/>
      <c r="D247" s="44"/>
      <c r="E247" s="45"/>
      <c r="F247" s="42">
        <v>18</v>
      </c>
      <c r="G247" s="56">
        <f t="shared" si="20"/>
        <v>0</v>
      </c>
      <c r="H247" s="56">
        <f t="shared" si="21"/>
        <v>0</v>
      </c>
      <c r="I247" s="56">
        <f t="shared" si="22"/>
        <v>0</v>
      </c>
      <c r="J247" s="57">
        <f t="shared" si="23"/>
        <v>0</v>
      </c>
    </row>
    <row r="248" spans="1:10" x14ac:dyDescent="0.25">
      <c r="A248" s="59"/>
      <c r="B248" s="46"/>
      <c r="C248" s="44"/>
      <c r="D248" s="44"/>
      <c r="E248" s="45"/>
      <c r="F248" s="42">
        <v>18</v>
      </c>
      <c r="G248" s="56">
        <f t="shared" si="20"/>
        <v>0</v>
      </c>
      <c r="H248" s="56">
        <f t="shared" si="21"/>
        <v>0</v>
      </c>
      <c r="I248" s="56">
        <f t="shared" si="22"/>
        <v>0</v>
      </c>
      <c r="J248" s="57">
        <f t="shared" si="23"/>
        <v>0</v>
      </c>
    </row>
    <row r="249" spans="1:10" x14ac:dyDescent="0.25">
      <c r="A249" s="59"/>
      <c r="B249" s="46"/>
      <c r="C249" s="44"/>
      <c r="D249" s="44"/>
      <c r="E249" s="45"/>
      <c r="F249" s="42">
        <v>18</v>
      </c>
      <c r="G249" s="56">
        <f t="shared" si="20"/>
        <v>0</v>
      </c>
      <c r="H249" s="56">
        <f t="shared" si="21"/>
        <v>0</v>
      </c>
      <c r="I249" s="56">
        <f t="shared" si="22"/>
        <v>0</v>
      </c>
      <c r="J249" s="57">
        <f t="shared" si="23"/>
        <v>0</v>
      </c>
    </row>
    <row r="250" spans="1:10" x14ac:dyDescent="0.25">
      <c r="A250" s="59"/>
      <c r="B250" s="46"/>
      <c r="C250" s="44"/>
      <c r="D250" s="44"/>
      <c r="E250" s="45"/>
      <c r="F250" s="42">
        <v>18</v>
      </c>
      <c r="G250" s="56">
        <f t="shared" si="20"/>
        <v>0</v>
      </c>
      <c r="H250" s="56">
        <f t="shared" si="21"/>
        <v>0</v>
      </c>
      <c r="I250" s="56">
        <f t="shared" si="22"/>
        <v>0</v>
      </c>
      <c r="J250" s="57">
        <f t="shared" si="23"/>
        <v>0</v>
      </c>
    </row>
    <row r="251" spans="1:10" x14ac:dyDescent="0.25">
      <c r="A251" s="59"/>
      <c r="B251" s="46"/>
      <c r="C251" s="44"/>
      <c r="D251" s="44"/>
      <c r="E251" s="45"/>
      <c r="F251" s="42">
        <v>18</v>
      </c>
      <c r="G251" s="56">
        <f t="shared" si="20"/>
        <v>0</v>
      </c>
      <c r="H251" s="56">
        <f t="shared" si="21"/>
        <v>0</v>
      </c>
      <c r="I251" s="56">
        <f t="shared" si="22"/>
        <v>0</v>
      </c>
      <c r="J251" s="57">
        <f t="shared" si="23"/>
        <v>0</v>
      </c>
    </row>
    <row r="252" spans="1:10" x14ac:dyDescent="0.25">
      <c r="A252" s="59"/>
      <c r="B252" s="46"/>
      <c r="C252" s="44"/>
      <c r="D252" s="44"/>
      <c r="E252" s="45"/>
      <c r="F252" s="42">
        <v>18</v>
      </c>
      <c r="G252" s="56">
        <f t="shared" si="20"/>
        <v>0</v>
      </c>
      <c r="H252" s="56">
        <f t="shared" si="21"/>
        <v>0</v>
      </c>
      <c r="I252" s="56">
        <f t="shared" si="22"/>
        <v>0</v>
      </c>
      <c r="J252" s="57">
        <f t="shared" si="23"/>
        <v>0</v>
      </c>
    </row>
    <row r="253" spans="1:10" x14ac:dyDescent="0.25">
      <c r="A253" s="59"/>
      <c r="B253" s="46"/>
      <c r="C253" s="44"/>
      <c r="D253" s="44"/>
      <c r="E253" s="45"/>
      <c r="F253" s="42">
        <v>18</v>
      </c>
      <c r="G253" s="56">
        <f t="shared" si="20"/>
        <v>0</v>
      </c>
      <c r="H253" s="56">
        <f t="shared" si="21"/>
        <v>0</v>
      </c>
      <c r="I253" s="56">
        <f t="shared" si="22"/>
        <v>0</v>
      </c>
      <c r="J253" s="57">
        <f t="shared" si="23"/>
        <v>0</v>
      </c>
    </row>
    <row r="254" spans="1:10" x14ac:dyDescent="0.25">
      <c r="A254" s="59"/>
      <c r="B254" s="46"/>
      <c r="C254" s="44"/>
      <c r="D254" s="44"/>
      <c r="E254" s="45"/>
      <c r="F254" s="42">
        <v>18</v>
      </c>
      <c r="G254" s="56">
        <f t="shared" si="20"/>
        <v>0</v>
      </c>
      <c r="H254" s="56">
        <f t="shared" si="21"/>
        <v>0</v>
      </c>
      <c r="I254" s="56">
        <f t="shared" si="22"/>
        <v>0</v>
      </c>
      <c r="J254" s="57">
        <f t="shared" si="23"/>
        <v>0</v>
      </c>
    </row>
    <row r="255" spans="1:10" x14ac:dyDescent="0.25">
      <c r="A255" s="59"/>
      <c r="B255" s="46"/>
      <c r="C255" s="44"/>
      <c r="D255" s="44"/>
      <c r="E255" s="45"/>
      <c r="F255" s="42">
        <v>18</v>
      </c>
      <c r="G255" s="56">
        <f t="shared" si="20"/>
        <v>0</v>
      </c>
      <c r="H255" s="56">
        <f t="shared" si="21"/>
        <v>0</v>
      </c>
      <c r="I255" s="56">
        <f t="shared" si="22"/>
        <v>0</v>
      </c>
      <c r="J255" s="57">
        <f t="shared" si="23"/>
        <v>0</v>
      </c>
    </row>
    <row r="256" spans="1:10" x14ac:dyDescent="0.25">
      <c r="A256" s="59"/>
      <c r="B256" s="46"/>
      <c r="C256" s="44"/>
      <c r="D256" s="44"/>
      <c r="E256" s="45"/>
      <c r="F256" s="42">
        <v>18</v>
      </c>
      <c r="G256" s="56">
        <f t="shared" si="20"/>
        <v>0</v>
      </c>
      <c r="H256" s="56">
        <f t="shared" si="21"/>
        <v>0</v>
      </c>
      <c r="I256" s="56">
        <f t="shared" si="22"/>
        <v>0</v>
      </c>
      <c r="J256" s="57">
        <f t="shared" si="23"/>
        <v>0</v>
      </c>
    </row>
    <row r="257" spans="1:10" x14ac:dyDescent="0.25">
      <c r="A257" s="59"/>
      <c r="B257" s="46"/>
      <c r="C257" s="44"/>
      <c r="D257" s="44"/>
      <c r="E257" s="45"/>
      <c r="F257" s="42">
        <v>18</v>
      </c>
      <c r="G257" s="56">
        <f t="shared" si="20"/>
        <v>0</v>
      </c>
      <c r="H257" s="56">
        <f t="shared" si="21"/>
        <v>0</v>
      </c>
      <c r="I257" s="56">
        <f t="shared" si="22"/>
        <v>0</v>
      </c>
      <c r="J257" s="57">
        <f t="shared" si="23"/>
        <v>0</v>
      </c>
    </row>
    <row r="258" spans="1:10" x14ac:dyDescent="0.25">
      <c r="A258" s="59"/>
      <c r="B258" s="46"/>
      <c r="C258" s="44"/>
      <c r="D258" s="44"/>
      <c r="E258" s="45"/>
      <c r="F258" s="42">
        <v>18</v>
      </c>
      <c r="G258" s="56">
        <f t="shared" si="20"/>
        <v>0</v>
      </c>
      <c r="H258" s="56">
        <f t="shared" si="21"/>
        <v>0</v>
      </c>
      <c r="I258" s="56">
        <f t="shared" si="22"/>
        <v>0</v>
      </c>
      <c r="J258" s="57">
        <f t="shared" si="23"/>
        <v>0</v>
      </c>
    </row>
    <row r="259" spans="1:10" x14ac:dyDescent="0.25">
      <c r="A259" s="59"/>
      <c r="B259" s="46"/>
      <c r="C259" s="44"/>
      <c r="D259" s="44"/>
      <c r="E259" s="45"/>
      <c r="F259" s="42">
        <v>18</v>
      </c>
      <c r="G259" s="56">
        <f t="shared" si="20"/>
        <v>0</v>
      </c>
      <c r="H259" s="56">
        <f t="shared" si="21"/>
        <v>0</v>
      </c>
      <c r="I259" s="56">
        <f t="shared" si="22"/>
        <v>0</v>
      </c>
      <c r="J259" s="57">
        <f t="shared" si="23"/>
        <v>0</v>
      </c>
    </row>
    <row r="260" spans="1:10" x14ac:dyDescent="0.25">
      <c r="A260" s="59"/>
      <c r="B260" s="46"/>
      <c r="C260" s="44"/>
      <c r="D260" s="44"/>
      <c r="E260" s="45"/>
      <c r="F260" s="42">
        <v>18</v>
      </c>
      <c r="G260" s="56">
        <f t="shared" si="20"/>
        <v>0</v>
      </c>
      <c r="H260" s="56">
        <f t="shared" si="21"/>
        <v>0</v>
      </c>
      <c r="I260" s="56">
        <f t="shared" si="22"/>
        <v>0</v>
      </c>
      <c r="J260" s="57">
        <f t="shared" si="23"/>
        <v>0</v>
      </c>
    </row>
    <row r="261" spans="1:10" x14ac:dyDescent="0.25">
      <c r="A261" s="59"/>
      <c r="B261" s="46"/>
      <c r="C261" s="44"/>
      <c r="D261" s="44"/>
      <c r="E261" s="45"/>
      <c r="F261" s="42">
        <v>18</v>
      </c>
      <c r="G261" s="56">
        <f t="shared" si="20"/>
        <v>0</v>
      </c>
      <c r="H261" s="56">
        <f t="shared" si="21"/>
        <v>0</v>
      </c>
      <c r="I261" s="56">
        <f t="shared" si="22"/>
        <v>0</v>
      </c>
      <c r="J261" s="57">
        <f t="shared" si="23"/>
        <v>0</v>
      </c>
    </row>
    <row r="262" spans="1:10" x14ac:dyDescent="0.25">
      <c r="A262" s="59"/>
      <c r="B262" s="46"/>
      <c r="C262" s="44"/>
      <c r="D262" s="44"/>
      <c r="E262" s="45"/>
      <c r="F262" s="42">
        <v>18</v>
      </c>
      <c r="G262" s="56">
        <f t="shared" si="20"/>
        <v>0</v>
      </c>
      <c r="H262" s="56">
        <f t="shared" si="21"/>
        <v>0</v>
      </c>
      <c r="I262" s="56">
        <f t="shared" si="22"/>
        <v>0</v>
      </c>
      <c r="J262" s="57">
        <f t="shared" si="23"/>
        <v>0</v>
      </c>
    </row>
    <row r="263" spans="1:10" x14ac:dyDescent="0.25">
      <c r="A263" s="59"/>
      <c r="B263" s="46"/>
      <c r="C263" s="44"/>
      <c r="D263" s="44"/>
      <c r="E263" s="45"/>
      <c r="F263" s="42">
        <v>18</v>
      </c>
      <c r="G263" s="56">
        <f t="shared" ref="G263:G269" si="24">ROUND((E263*F263%)/2,)</f>
        <v>0</v>
      </c>
      <c r="H263" s="56">
        <f t="shared" ref="H263:H269" si="25">G263</f>
        <v>0</v>
      </c>
      <c r="I263" s="56">
        <f t="shared" ref="I263:I269" si="26">G263+H263</f>
        <v>0</v>
      </c>
      <c r="J263" s="57">
        <f t="shared" ref="J263:J269" si="27">E263+I263</f>
        <v>0</v>
      </c>
    </row>
    <row r="264" spans="1:10" x14ac:dyDescent="0.25">
      <c r="A264" s="59"/>
      <c r="B264" s="46"/>
      <c r="C264" s="44"/>
      <c r="D264" s="44"/>
      <c r="E264" s="45"/>
      <c r="F264" s="42">
        <v>18</v>
      </c>
      <c r="G264" s="56">
        <f t="shared" si="24"/>
        <v>0</v>
      </c>
      <c r="H264" s="56">
        <f t="shared" si="25"/>
        <v>0</v>
      </c>
      <c r="I264" s="56">
        <f t="shared" si="26"/>
        <v>0</v>
      </c>
      <c r="J264" s="57">
        <f t="shared" si="27"/>
        <v>0</v>
      </c>
    </row>
    <row r="265" spans="1:10" x14ac:dyDescent="0.25">
      <c r="A265" s="59"/>
      <c r="B265" s="46"/>
      <c r="C265" s="44"/>
      <c r="D265" s="44"/>
      <c r="E265" s="45"/>
      <c r="F265" s="42">
        <v>18</v>
      </c>
      <c r="G265" s="56">
        <f t="shared" si="24"/>
        <v>0</v>
      </c>
      <c r="H265" s="56">
        <f t="shared" si="25"/>
        <v>0</v>
      </c>
      <c r="I265" s="56">
        <f t="shared" si="26"/>
        <v>0</v>
      </c>
      <c r="J265" s="57">
        <f t="shared" si="27"/>
        <v>0</v>
      </c>
    </row>
    <row r="266" spans="1:10" x14ac:dyDescent="0.25">
      <c r="A266" s="59"/>
      <c r="B266" s="46"/>
      <c r="C266" s="44"/>
      <c r="D266" s="44"/>
      <c r="E266" s="45"/>
      <c r="F266" s="42">
        <v>18</v>
      </c>
      <c r="G266" s="56">
        <f t="shared" si="24"/>
        <v>0</v>
      </c>
      <c r="H266" s="56">
        <f t="shared" si="25"/>
        <v>0</v>
      </c>
      <c r="I266" s="56">
        <f t="shared" si="26"/>
        <v>0</v>
      </c>
      <c r="J266" s="57">
        <f t="shared" si="27"/>
        <v>0</v>
      </c>
    </row>
    <row r="267" spans="1:10" x14ac:dyDescent="0.25">
      <c r="A267" s="59"/>
      <c r="B267" s="46"/>
      <c r="C267" s="44"/>
      <c r="D267" s="44"/>
      <c r="E267" s="45"/>
      <c r="F267" s="42">
        <v>18</v>
      </c>
      <c r="G267" s="56">
        <f t="shared" si="24"/>
        <v>0</v>
      </c>
      <c r="H267" s="56">
        <f t="shared" si="25"/>
        <v>0</v>
      </c>
      <c r="I267" s="56">
        <f t="shared" si="26"/>
        <v>0</v>
      </c>
      <c r="J267" s="57">
        <f t="shared" si="27"/>
        <v>0</v>
      </c>
    </row>
    <row r="268" spans="1:10" x14ac:dyDescent="0.25">
      <c r="A268" s="59"/>
      <c r="B268" s="46"/>
      <c r="C268" s="44"/>
      <c r="D268" s="44"/>
      <c r="E268" s="45"/>
      <c r="F268" s="42">
        <v>18</v>
      </c>
      <c r="G268" s="56">
        <f t="shared" si="24"/>
        <v>0</v>
      </c>
      <c r="H268" s="56">
        <f t="shared" si="25"/>
        <v>0</v>
      </c>
      <c r="I268" s="56">
        <f t="shared" si="26"/>
        <v>0</v>
      </c>
      <c r="J268" s="57">
        <f t="shared" si="27"/>
        <v>0</v>
      </c>
    </row>
    <row r="269" spans="1:10" x14ac:dyDescent="0.25">
      <c r="A269" s="59"/>
      <c r="B269" s="46"/>
      <c r="C269" s="44"/>
      <c r="D269" s="44"/>
      <c r="E269" s="45"/>
      <c r="F269" s="42">
        <v>18</v>
      </c>
      <c r="G269" s="56">
        <f t="shared" si="24"/>
        <v>0</v>
      </c>
      <c r="H269" s="56">
        <f t="shared" si="25"/>
        <v>0</v>
      </c>
      <c r="I269" s="56">
        <f t="shared" si="26"/>
        <v>0</v>
      </c>
      <c r="J269" s="57">
        <f t="shared" si="27"/>
        <v>0</v>
      </c>
    </row>
  </sheetData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269">
      <formula1>500</formula1>
    </dataValidation>
    <dataValidation type="custom" allowBlank="1" showInputMessage="1" showErrorMessage="1" error="Please enter Numeric value having length less than or equal to 16 including decimal points. Do not enter Special characters." sqref="F2:F269">
      <formula1>AG2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269">
      <formula1>AF2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2:D269">
      <formula1>AD2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selection activeCell="A4" sqref="A4:B4"/>
    </sheetView>
  </sheetViews>
  <sheetFormatPr defaultRowHeight="15" x14ac:dyDescent="0.25"/>
  <cols>
    <col min="1" max="1" width="17.85546875" customWidth="1"/>
    <col min="2" max="2" width="38.85546875" customWidth="1"/>
    <col min="3" max="3" width="8.140625" customWidth="1"/>
    <col min="4" max="4" width="10.28515625" customWidth="1"/>
    <col min="5" max="5" width="11" customWidth="1"/>
    <col min="6" max="6" width="8" customWidth="1"/>
    <col min="7" max="7" width="11.140625" customWidth="1"/>
    <col min="8" max="8" width="10.5703125" customWidth="1"/>
    <col min="9" max="9" width="11.5703125" customWidth="1"/>
    <col min="10" max="10" width="12.8554687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109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/>
      <c r="F3" s="42">
        <v>18</v>
      </c>
      <c r="G3" s="56">
        <f t="shared" ref="G3:G9" si="0">ROUND((E3*F3%)/2,)</f>
        <v>0</v>
      </c>
      <c r="H3" s="56">
        <f t="shared" ref="H3:H9" si="1">G3</f>
        <v>0</v>
      </c>
      <c r="I3" s="56">
        <f t="shared" ref="I3:I9" si="2">G3+H3</f>
        <v>0</v>
      </c>
      <c r="J3" s="57">
        <f t="shared" ref="J3:J9" si="3">E3+I3</f>
        <v>0</v>
      </c>
    </row>
    <row r="4" spans="1:10" ht="21" x14ac:dyDescent="0.25">
      <c r="A4" s="59" t="s">
        <v>120</v>
      </c>
      <c r="B4" s="46" t="s">
        <v>121</v>
      </c>
      <c r="C4" s="44" t="s">
        <v>387</v>
      </c>
      <c r="D4" s="44" t="s">
        <v>388</v>
      </c>
      <c r="E4" s="45">
        <v>410</v>
      </c>
      <c r="F4" s="42">
        <v>18</v>
      </c>
      <c r="G4" s="56">
        <f t="shared" si="0"/>
        <v>37</v>
      </c>
      <c r="H4" s="56">
        <f t="shared" si="1"/>
        <v>37</v>
      </c>
      <c r="I4" s="56">
        <f t="shared" si="2"/>
        <v>74</v>
      </c>
      <c r="J4" s="57">
        <f t="shared" si="3"/>
        <v>484</v>
      </c>
    </row>
    <row r="5" spans="1:10" x14ac:dyDescent="0.25">
      <c r="A5" s="59"/>
      <c r="B5" s="46"/>
      <c r="C5" s="44"/>
      <c r="D5" s="44"/>
      <c r="E5" s="45"/>
      <c r="F5" s="42">
        <v>18</v>
      </c>
      <c r="G5" s="56">
        <f t="shared" si="0"/>
        <v>0</v>
      </c>
      <c r="H5" s="56">
        <f t="shared" si="1"/>
        <v>0</v>
      </c>
      <c r="I5" s="56">
        <f t="shared" si="2"/>
        <v>0</v>
      </c>
      <c r="J5" s="57">
        <f t="shared" si="3"/>
        <v>0</v>
      </c>
    </row>
    <row r="6" spans="1:10" x14ac:dyDescent="0.25">
      <c r="A6" s="59"/>
      <c r="B6" s="46"/>
      <c r="C6" s="44"/>
      <c r="D6" s="44"/>
      <c r="E6" s="45"/>
      <c r="F6" s="42">
        <v>18</v>
      </c>
      <c r="G6" s="56">
        <f t="shared" si="0"/>
        <v>0</v>
      </c>
      <c r="H6" s="56">
        <f t="shared" si="1"/>
        <v>0</v>
      </c>
      <c r="I6" s="56">
        <f t="shared" si="2"/>
        <v>0</v>
      </c>
      <c r="J6" s="57">
        <f t="shared" si="3"/>
        <v>0</v>
      </c>
    </row>
    <row r="7" spans="1:10" x14ac:dyDescent="0.25">
      <c r="A7" s="59"/>
      <c r="B7" s="46"/>
      <c r="C7" s="44"/>
      <c r="D7" s="44"/>
      <c r="E7" s="45"/>
      <c r="F7" s="42">
        <v>18</v>
      </c>
      <c r="G7" s="56">
        <f t="shared" si="0"/>
        <v>0</v>
      </c>
      <c r="H7" s="56">
        <f t="shared" si="1"/>
        <v>0</v>
      </c>
      <c r="I7" s="56">
        <f t="shared" si="2"/>
        <v>0</v>
      </c>
      <c r="J7" s="57">
        <f t="shared" si="3"/>
        <v>0</v>
      </c>
    </row>
    <row r="8" spans="1:10" x14ac:dyDescent="0.25">
      <c r="A8" s="59"/>
      <c r="B8" s="60" t="s">
        <v>114</v>
      </c>
      <c r="C8" s="44"/>
      <c r="D8" s="44"/>
      <c r="E8" s="45"/>
      <c r="F8" s="42">
        <v>18</v>
      </c>
      <c r="G8" s="56">
        <f t="shared" si="0"/>
        <v>0</v>
      </c>
      <c r="H8" s="56">
        <f t="shared" si="1"/>
        <v>0</v>
      </c>
      <c r="I8" s="56">
        <f t="shared" si="2"/>
        <v>0</v>
      </c>
      <c r="J8" s="57">
        <f t="shared" si="3"/>
        <v>0</v>
      </c>
    </row>
    <row r="9" spans="1:10" x14ac:dyDescent="0.25">
      <c r="A9" s="59"/>
      <c r="B9" s="46"/>
      <c r="C9" s="44"/>
      <c r="D9" s="44"/>
      <c r="E9" s="45"/>
      <c r="F9" s="42">
        <v>18</v>
      </c>
      <c r="G9" s="56">
        <f t="shared" si="0"/>
        <v>0</v>
      </c>
      <c r="H9" s="56">
        <f t="shared" si="1"/>
        <v>0</v>
      </c>
      <c r="I9" s="56">
        <f t="shared" si="2"/>
        <v>0</v>
      </c>
      <c r="J9" s="57">
        <f t="shared" si="3"/>
        <v>0</v>
      </c>
    </row>
    <row r="10" spans="1:10" x14ac:dyDescent="0.25">
      <c r="A10" s="59"/>
      <c r="B10" s="46"/>
      <c r="C10" s="44"/>
      <c r="D10" s="44"/>
      <c r="E10" s="45"/>
      <c r="F10" s="42"/>
      <c r="G10" s="56"/>
      <c r="H10" s="56"/>
      <c r="I10" s="56"/>
      <c r="J10" s="57"/>
    </row>
    <row r="11" spans="1:10" ht="21" x14ac:dyDescent="0.25">
      <c r="A11" s="59" t="s">
        <v>306</v>
      </c>
      <c r="B11" s="46" t="s">
        <v>124</v>
      </c>
      <c r="C11" s="44" t="s">
        <v>389</v>
      </c>
      <c r="D11" s="44" t="s">
        <v>435</v>
      </c>
      <c r="E11" s="45">
        <v>2194</v>
      </c>
      <c r="F11" s="42">
        <v>18</v>
      </c>
      <c r="G11" s="56">
        <f t="shared" ref="G11" si="4">ROUND((E11*F11%)/2,)</f>
        <v>197</v>
      </c>
      <c r="H11" s="56">
        <f t="shared" ref="H11" si="5">G11</f>
        <v>197</v>
      </c>
      <c r="I11" s="56">
        <f t="shared" ref="I11" si="6">G11+H11</f>
        <v>394</v>
      </c>
      <c r="J11" s="57">
        <f t="shared" ref="J11" si="7">E11+I11</f>
        <v>2588</v>
      </c>
    </row>
    <row r="12" spans="1:10" ht="21" x14ac:dyDescent="0.25">
      <c r="A12" s="59" t="s">
        <v>127</v>
      </c>
      <c r="B12" s="46" t="s">
        <v>128</v>
      </c>
      <c r="C12" s="44" t="s">
        <v>390</v>
      </c>
      <c r="D12" s="44" t="s">
        <v>435</v>
      </c>
      <c r="E12" s="45">
        <v>1180</v>
      </c>
      <c r="F12" s="42">
        <v>18</v>
      </c>
      <c r="G12" s="56">
        <f t="shared" ref="G12:G74" si="8">ROUND((E12*F12%)/2,)</f>
        <v>106</v>
      </c>
      <c r="H12" s="56">
        <f t="shared" ref="H12:H74" si="9">G12</f>
        <v>106</v>
      </c>
      <c r="I12" s="56">
        <f t="shared" ref="I12:I74" si="10">G12+H12</f>
        <v>212</v>
      </c>
      <c r="J12" s="57">
        <f t="shared" ref="J12:J74" si="11">E12+I12</f>
        <v>1392</v>
      </c>
    </row>
    <row r="13" spans="1:10" ht="21" x14ac:dyDescent="0.25">
      <c r="A13" s="59" t="s">
        <v>306</v>
      </c>
      <c r="B13" s="46" t="s">
        <v>124</v>
      </c>
      <c r="C13" s="44" t="s">
        <v>391</v>
      </c>
      <c r="D13" s="44" t="s">
        <v>435</v>
      </c>
      <c r="E13" s="45">
        <v>1034</v>
      </c>
      <c r="F13" s="42">
        <v>18</v>
      </c>
      <c r="G13" s="56">
        <f t="shared" si="8"/>
        <v>93</v>
      </c>
      <c r="H13" s="56">
        <f t="shared" si="9"/>
        <v>93</v>
      </c>
      <c r="I13" s="56">
        <f t="shared" si="10"/>
        <v>186</v>
      </c>
      <c r="J13" s="57">
        <f t="shared" si="11"/>
        <v>1220</v>
      </c>
    </row>
    <row r="14" spans="1:10" ht="21" x14ac:dyDescent="0.25">
      <c r="A14" s="59" t="s">
        <v>306</v>
      </c>
      <c r="B14" s="46" t="s">
        <v>124</v>
      </c>
      <c r="C14" s="44" t="s">
        <v>392</v>
      </c>
      <c r="D14" s="44" t="s">
        <v>436</v>
      </c>
      <c r="E14" s="45">
        <v>4244</v>
      </c>
      <c r="F14" s="42">
        <v>18</v>
      </c>
      <c r="G14" s="56">
        <f t="shared" si="8"/>
        <v>382</v>
      </c>
      <c r="H14" s="56">
        <f t="shared" si="9"/>
        <v>382</v>
      </c>
      <c r="I14" s="56">
        <f t="shared" si="10"/>
        <v>764</v>
      </c>
      <c r="J14" s="57">
        <f t="shared" si="11"/>
        <v>5008</v>
      </c>
    </row>
    <row r="15" spans="1:10" ht="21" x14ac:dyDescent="0.25">
      <c r="A15" s="59" t="s">
        <v>306</v>
      </c>
      <c r="B15" s="46" t="s">
        <v>124</v>
      </c>
      <c r="C15" s="44" t="s">
        <v>393</v>
      </c>
      <c r="D15" s="44" t="s">
        <v>436</v>
      </c>
      <c r="E15" s="45">
        <v>1300</v>
      </c>
      <c r="F15" s="42">
        <v>18</v>
      </c>
      <c r="G15" s="56">
        <f t="shared" si="8"/>
        <v>117</v>
      </c>
      <c r="H15" s="56">
        <f t="shared" si="9"/>
        <v>117</v>
      </c>
      <c r="I15" s="56">
        <f t="shared" si="10"/>
        <v>234</v>
      </c>
      <c r="J15" s="57">
        <f t="shared" si="11"/>
        <v>1534</v>
      </c>
    </row>
    <row r="16" spans="1:10" ht="21" x14ac:dyDescent="0.25">
      <c r="A16" s="59" t="s">
        <v>306</v>
      </c>
      <c r="B16" s="46" t="s">
        <v>124</v>
      </c>
      <c r="C16" s="44" t="s">
        <v>394</v>
      </c>
      <c r="D16" s="44" t="s">
        <v>437</v>
      </c>
      <c r="E16" s="45">
        <v>5578</v>
      </c>
      <c r="F16" s="42">
        <v>18</v>
      </c>
      <c r="G16" s="56">
        <f t="shared" si="8"/>
        <v>502</v>
      </c>
      <c r="H16" s="56">
        <f t="shared" si="9"/>
        <v>502</v>
      </c>
      <c r="I16" s="56">
        <f t="shared" si="10"/>
        <v>1004</v>
      </c>
      <c r="J16" s="57">
        <f t="shared" si="11"/>
        <v>6582</v>
      </c>
    </row>
    <row r="17" spans="1:10" ht="21" x14ac:dyDescent="0.25">
      <c r="A17" s="59" t="s">
        <v>255</v>
      </c>
      <c r="B17" s="46" t="s">
        <v>256</v>
      </c>
      <c r="C17" s="44" t="s">
        <v>395</v>
      </c>
      <c r="D17" s="44" t="s">
        <v>438</v>
      </c>
      <c r="E17" s="45">
        <v>4950</v>
      </c>
      <c r="F17" s="42">
        <v>18</v>
      </c>
      <c r="G17" s="56">
        <f t="shared" si="8"/>
        <v>446</v>
      </c>
      <c r="H17" s="56">
        <f t="shared" si="9"/>
        <v>446</v>
      </c>
      <c r="I17" s="56">
        <f t="shared" si="10"/>
        <v>892</v>
      </c>
      <c r="J17" s="57">
        <f t="shared" si="11"/>
        <v>5842</v>
      </c>
    </row>
    <row r="18" spans="1:10" ht="21" x14ac:dyDescent="0.25">
      <c r="A18" s="59" t="s">
        <v>306</v>
      </c>
      <c r="B18" s="46" t="s">
        <v>124</v>
      </c>
      <c r="C18" s="44" t="s">
        <v>396</v>
      </c>
      <c r="D18" s="44" t="s">
        <v>438</v>
      </c>
      <c r="E18" s="45">
        <v>1200</v>
      </c>
      <c r="F18" s="42">
        <v>18</v>
      </c>
      <c r="G18" s="56">
        <f t="shared" si="8"/>
        <v>108</v>
      </c>
      <c r="H18" s="56">
        <f t="shared" si="9"/>
        <v>108</v>
      </c>
      <c r="I18" s="56">
        <f t="shared" si="10"/>
        <v>216</v>
      </c>
      <c r="J18" s="57">
        <f t="shared" si="11"/>
        <v>1416</v>
      </c>
    </row>
    <row r="19" spans="1:10" ht="21" x14ac:dyDescent="0.25">
      <c r="A19" s="59" t="s">
        <v>306</v>
      </c>
      <c r="B19" s="46" t="s">
        <v>124</v>
      </c>
      <c r="C19" s="44" t="s">
        <v>397</v>
      </c>
      <c r="D19" s="44" t="s">
        <v>439</v>
      </c>
      <c r="E19" s="45">
        <v>1200</v>
      </c>
      <c r="F19" s="42">
        <v>18</v>
      </c>
      <c r="G19" s="56">
        <f t="shared" si="8"/>
        <v>108</v>
      </c>
      <c r="H19" s="56">
        <f t="shared" si="9"/>
        <v>108</v>
      </c>
      <c r="I19" s="56">
        <f t="shared" si="10"/>
        <v>216</v>
      </c>
      <c r="J19" s="57">
        <f t="shared" si="11"/>
        <v>1416</v>
      </c>
    </row>
    <row r="20" spans="1:10" ht="21" x14ac:dyDescent="0.25">
      <c r="A20" s="59" t="s">
        <v>135</v>
      </c>
      <c r="B20" s="46" t="s">
        <v>136</v>
      </c>
      <c r="C20" s="44" t="s">
        <v>398</v>
      </c>
      <c r="D20" s="44" t="s">
        <v>439</v>
      </c>
      <c r="E20" s="45">
        <v>1060</v>
      </c>
      <c r="F20" s="42">
        <v>18</v>
      </c>
      <c r="G20" s="56">
        <f t="shared" si="8"/>
        <v>95</v>
      </c>
      <c r="H20" s="56">
        <f t="shared" si="9"/>
        <v>95</v>
      </c>
      <c r="I20" s="56">
        <f t="shared" si="10"/>
        <v>190</v>
      </c>
      <c r="J20" s="57">
        <f t="shared" si="11"/>
        <v>1250</v>
      </c>
    </row>
    <row r="21" spans="1:10" ht="21" x14ac:dyDescent="0.25">
      <c r="A21" s="59" t="s">
        <v>135</v>
      </c>
      <c r="B21" s="46" t="s">
        <v>136</v>
      </c>
      <c r="C21" s="44" t="s">
        <v>399</v>
      </c>
      <c r="D21" s="44" t="s">
        <v>439</v>
      </c>
      <c r="E21" s="45">
        <v>860</v>
      </c>
      <c r="F21" s="42">
        <v>18</v>
      </c>
      <c r="G21" s="56">
        <f t="shared" si="8"/>
        <v>77</v>
      </c>
      <c r="H21" s="56">
        <f t="shared" si="9"/>
        <v>77</v>
      </c>
      <c r="I21" s="56">
        <f t="shared" si="10"/>
        <v>154</v>
      </c>
      <c r="J21" s="57">
        <f t="shared" si="11"/>
        <v>1014</v>
      </c>
    </row>
    <row r="22" spans="1:10" ht="21" x14ac:dyDescent="0.25">
      <c r="A22" s="59" t="s">
        <v>135</v>
      </c>
      <c r="B22" s="46" t="s">
        <v>136</v>
      </c>
      <c r="C22" s="44" t="s">
        <v>400</v>
      </c>
      <c r="D22" s="44" t="s">
        <v>440</v>
      </c>
      <c r="E22" s="45">
        <v>2340</v>
      </c>
      <c r="F22" s="42">
        <v>18</v>
      </c>
      <c r="G22" s="56">
        <f t="shared" si="8"/>
        <v>211</v>
      </c>
      <c r="H22" s="56">
        <f t="shared" si="9"/>
        <v>211</v>
      </c>
      <c r="I22" s="56">
        <f t="shared" si="10"/>
        <v>422</v>
      </c>
      <c r="J22" s="57">
        <f t="shared" si="11"/>
        <v>2762</v>
      </c>
    </row>
    <row r="23" spans="1:10" ht="21" x14ac:dyDescent="0.25">
      <c r="A23" s="59" t="s">
        <v>306</v>
      </c>
      <c r="B23" s="46" t="s">
        <v>124</v>
      </c>
      <c r="C23" s="44" t="s">
        <v>401</v>
      </c>
      <c r="D23" s="44" t="s">
        <v>440</v>
      </c>
      <c r="E23" s="45">
        <v>2900</v>
      </c>
      <c r="F23" s="42">
        <v>18</v>
      </c>
      <c r="G23" s="56">
        <f t="shared" si="8"/>
        <v>261</v>
      </c>
      <c r="H23" s="56">
        <f t="shared" si="9"/>
        <v>261</v>
      </c>
      <c r="I23" s="56">
        <f t="shared" si="10"/>
        <v>522</v>
      </c>
      <c r="J23" s="57">
        <f t="shared" si="11"/>
        <v>3422</v>
      </c>
    </row>
    <row r="24" spans="1:10" ht="21" x14ac:dyDescent="0.25">
      <c r="A24" s="59" t="s">
        <v>135</v>
      </c>
      <c r="B24" s="46" t="s">
        <v>136</v>
      </c>
      <c r="C24" s="44" t="s">
        <v>402</v>
      </c>
      <c r="D24" s="44" t="s">
        <v>441</v>
      </c>
      <c r="E24" s="45">
        <v>3120</v>
      </c>
      <c r="F24" s="42">
        <v>18</v>
      </c>
      <c r="G24" s="56">
        <f t="shared" si="8"/>
        <v>281</v>
      </c>
      <c r="H24" s="56">
        <f t="shared" si="9"/>
        <v>281</v>
      </c>
      <c r="I24" s="56">
        <f t="shared" si="10"/>
        <v>562</v>
      </c>
      <c r="J24" s="57">
        <f t="shared" si="11"/>
        <v>3682</v>
      </c>
    </row>
    <row r="25" spans="1:10" ht="21" x14ac:dyDescent="0.25">
      <c r="A25" s="59" t="s">
        <v>306</v>
      </c>
      <c r="B25" s="46" t="s">
        <v>124</v>
      </c>
      <c r="C25" s="44" t="s">
        <v>403</v>
      </c>
      <c r="D25" s="44" t="s">
        <v>441</v>
      </c>
      <c r="E25" s="45">
        <v>840</v>
      </c>
      <c r="F25" s="42">
        <v>18</v>
      </c>
      <c r="G25" s="56">
        <f t="shared" si="8"/>
        <v>76</v>
      </c>
      <c r="H25" s="56">
        <f t="shared" si="9"/>
        <v>76</v>
      </c>
      <c r="I25" s="56">
        <f t="shared" si="10"/>
        <v>152</v>
      </c>
      <c r="J25" s="57">
        <f t="shared" si="11"/>
        <v>992</v>
      </c>
    </row>
    <row r="26" spans="1:10" ht="21" x14ac:dyDescent="0.25">
      <c r="A26" s="59" t="s">
        <v>306</v>
      </c>
      <c r="B26" s="46" t="s">
        <v>124</v>
      </c>
      <c r="C26" s="44" t="s">
        <v>404</v>
      </c>
      <c r="D26" s="44" t="s">
        <v>442</v>
      </c>
      <c r="E26" s="45">
        <v>1160</v>
      </c>
      <c r="F26" s="42">
        <v>18</v>
      </c>
      <c r="G26" s="56">
        <f t="shared" si="8"/>
        <v>104</v>
      </c>
      <c r="H26" s="56">
        <f t="shared" si="9"/>
        <v>104</v>
      </c>
      <c r="I26" s="56">
        <f t="shared" si="10"/>
        <v>208</v>
      </c>
      <c r="J26" s="57">
        <f t="shared" si="11"/>
        <v>1368</v>
      </c>
    </row>
    <row r="27" spans="1:10" ht="21" x14ac:dyDescent="0.25">
      <c r="A27" s="59" t="s">
        <v>306</v>
      </c>
      <c r="B27" s="46" t="s">
        <v>124</v>
      </c>
      <c r="C27" s="44" t="s">
        <v>405</v>
      </c>
      <c r="D27" s="44" t="s">
        <v>443</v>
      </c>
      <c r="E27" s="45">
        <v>1360</v>
      </c>
      <c r="F27" s="42">
        <v>18</v>
      </c>
      <c r="G27" s="56">
        <f t="shared" si="8"/>
        <v>122</v>
      </c>
      <c r="H27" s="56">
        <f t="shared" si="9"/>
        <v>122</v>
      </c>
      <c r="I27" s="56">
        <f t="shared" si="10"/>
        <v>244</v>
      </c>
      <c r="J27" s="57">
        <f t="shared" si="11"/>
        <v>1604</v>
      </c>
    </row>
    <row r="28" spans="1:10" ht="21" x14ac:dyDescent="0.25">
      <c r="A28" s="59" t="s">
        <v>306</v>
      </c>
      <c r="B28" s="46" t="s">
        <v>124</v>
      </c>
      <c r="C28" s="44" t="s">
        <v>406</v>
      </c>
      <c r="D28" s="44" t="s">
        <v>444</v>
      </c>
      <c r="E28" s="45">
        <v>2000</v>
      </c>
      <c r="F28" s="42">
        <v>18</v>
      </c>
      <c r="G28" s="56">
        <f t="shared" si="8"/>
        <v>180</v>
      </c>
      <c r="H28" s="56">
        <f t="shared" si="9"/>
        <v>180</v>
      </c>
      <c r="I28" s="56">
        <f t="shared" si="10"/>
        <v>360</v>
      </c>
      <c r="J28" s="57">
        <f t="shared" si="11"/>
        <v>2360</v>
      </c>
    </row>
    <row r="29" spans="1:10" ht="21" x14ac:dyDescent="0.25">
      <c r="A29" s="59" t="s">
        <v>135</v>
      </c>
      <c r="B29" s="46" t="s">
        <v>136</v>
      </c>
      <c r="C29" s="44" t="s">
        <v>407</v>
      </c>
      <c r="D29" s="44" t="s">
        <v>445</v>
      </c>
      <c r="E29" s="45">
        <v>2450</v>
      </c>
      <c r="F29" s="42">
        <v>18</v>
      </c>
      <c r="G29" s="56">
        <f t="shared" si="8"/>
        <v>221</v>
      </c>
      <c r="H29" s="56">
        <f t="shared" si="9"/>
        <v>221</v>
      </c>
      <c r="I29" s="56">
        <f t="shared" si="10"/>
        <v>442</v>
      </c>
      <c r="J29" s="57">
        <f t="shared" si="11"/>
        <v>2892</v>
      </c>
    </row>
    <row r="30" spans="1:10" ht="21" x14ac:dyDescent="0.25">
      <c r="A30" s="59" t="s">
        <v>127</v>
      </c>
      <c r="B30" s="46" t="s">
        <v>128</v>
      </c>
      <c r="C30" s="44" t="s">
        <v>408</v>
      </c>
      <c r="D30" s="44" t="s">
        <v>445</v>
      </c>
      <c r="E30" s="45">
        <v>720</v>
      </c>
      <c r="F30" s="42">
        <v>18</v>
      </c>
      <c r="G30" s="56">
        <f t="shared" si="8"/>
        <v>65</v>
      </c>
      <c r="H30" s="56">
        <f t="shared" si="9"/>
        <v>65</v>
      </c>
      <c r="I30" s="56">
        <f t="shared" si="10"/>
        <v>130</v>
      </c>
      <c r="J30" s="57">
        <f t="shared" si="11"/>
        <v>850</v>
      </c>
    </row>
    <row r="31" spans="1:10" ht="21" x14ac:dyDescent="0.25">
      <c r="A31" s="59" t="s">
        <v>306</v>
      </c>
      <c r="B31" s="46" t="s">
        <v>124</v>
      </c>
      <c r="C31" s="44" t="s">
        <v>409</v>
      </c>
      <c r="D31" s="44" t="s">
        <v>445</v>
      </c>
      <c r="E31" s="45">
        <v>625</v>
      </c>
      <c r="F31" s="42">
        <v>18</v>
      </c>
      <c r="G31" s="56">
        <f t="shared" si="8"/>
        <v>56</v>
      </c>
      <c r="H31" s="56">
        <f t="shared" si="9"/>
        <v>56</v>
      </c>
      <c r="I31" s="56">
        <f t="shared" si="10"/>
        <v>112</v>
      </c>
      <c r="J31" s="57">
        <f t="shared" si="11"/>
        <v>737</v>
      </c>
    </row>
    <row r="32" spans="1:10" ht="21" x14ac:dyDescent="0.25">
      <c r="A32" s="59" t="s">
        <v>306</v>
      </c>
      <c r="B32" s="46" t="s">
        <v>124</v>
      </c>
      <c r="C32" s="44" t="s">
        <v>410</v>
      </c>
      <c r="D32" s="44" t="s">
        <v>446</v>
      </c>
      <c r="E32" s="45">
        <v>1675</v>
      </c>
      <c r="F32" s="42">
        <v>18</v>
      </c>
      <c r="G32" s="56">
        <f t="shared" si="8"/>
        <v>151</v>
      </c>
      <c r="H32" s="56">
        <f t="shared" si="9"/>
        <v>151</v>
      </c>
      <c r="I32" s="56">
        <f t="shared" si="10"/>
        <v>302</v>
      </c>
      <c r="J32" s="57">
        <f t="shared" si="11"/>
        <v>1977</v>
      </c>
    </row>
    <row r="33" spans="1:10" ht="21" x14ac:dyDescent="0.25">
      <c r="A33" s="59" t="s">
        <v>127</v>
      </c>
      <c r="B33" s="46" t="s">
        <v>128</v>
      </c>
      <c r="C33" s="44" t="s">
        <v>411</v>
      </c>
      <c r="D33" s="44" t="s">
        <v>447</v>
      </c>
      <c r="E33" s="45">
        <v>3000</v>
      </c>
      <c r="F33" s="42">
        <v>18</v>
      </c>
      <c r="G33" s="56">
        <f t="shared" si="8"/>
        <v>270</v>
      </c>
      <c r="H33" s="56">
        <f t="shared" si="9"/>
        <v>270</v>
      </c>
      <c r="I33" s="56">
        <f t="shared" si="10"/>
        <v>540</v>
      </c>
      <c r="J33" s="57">
        <f t="shared" si="11"/>
        <v>3540</v>
      </c>
    </row>
    <row r="34" spans="1:10" ht="21" x14ac:dyDescent="0.25">
      <c r="A34" s="59" t="s">
        <v>135</v>
      </c>
      <c r="B34" s="46" t="s">
        <v>136</v>
      </c>
      <c r="C34" s="44" t="s">
        <v>412</v>
      </c>
      <c r="D34" s="44" t="s">
        <v>448</v>
      </c>
      <c r="E34" s="45">
        <v>960</v>
      </c>
      <c r="F34" s="42">
        <v>18</v>
      </c>
      <c r="G34" s="56">
        <f t="shared" si="8"/>
        <v>86</v>
      </c>
      <c r="H34" s="56">
        <f t="shared" si="9"/>
        <v>86</v>
      </c>
      <c r="I34" s="56">
        <f t="shared" si="10"/>
        <v>172</v>
      </c>
      <c r="J34" s="57">
        <f t="shared" si="11"/>
        <v>1132</v>
      </c>
    </row>
    <row r="35" spans="1:10" ht="21" x14ac:dyDescent="0.25">
      <c r="A35" s="59" t="s">
        <v>306</v>
      </c>
      <c r="B35" s="46" t="s">
        <v>124</v>
      </c>
      <c r="C35" s="44" t="s">
        <v>413</v>
      </c>
      <c r="D35" s="44" t="s">
        <v>447</v>
      </c>
      <c r="E35" s="45">
        <v>300</v>
      </c>
      <c r="F35" s="42">
        <v>18</v>
      </c>
      <c r="G35" s="56">
        <f t="shared" si="8"/>
        <v>27</v>
      </c>
      <c r="H35" s="56">
        <f t="shared" si="9"/>
        <v>27</v>
      </c>
      <c r="I35" s="56">
        <f t="shared" si="10"/>
        <v>54</v>
      </c>
      <c r="J35" s="57">
        <f t="shared" si="11"/>
        <v>354</v>
      </c>
    </row>
    <row r="36" spans="1:10" ht="21" x14ac:dyDescent="0.25">
      <c r="A36" s="59" t="s">
        <v>306</v>
      </c>
      <c r="B36" s="46" t="s">
        <v>124</v>
      </c>
      <c r="C36" s="44" t="s">
        <v>414</v>
      </c>
      <c r="D36" s="44" t="s">
        <v>448</v>
      </c>
      <c r="E36" s="45">
        <v>450</v>
      </c>
      <c r="F36" s="42">
        <v>18</v>
      </c>
      <c r="G36" s="56">
        <f t="shared" si="8"/>
        <v>41</v>
      </c>
      <c r="H36" s="56">
        <f t="shared" si="9"/>
        <v>41</v>
      </c>
      <c r="I36" s="56">
        <f t="shared" si="10"/>
        <v>82</v>
      </c>
      <c r="J36" s="57">
        <f t="shared" si="11"/>
        <v>532</v>
      </c>
    </row>
    <row r="37" spans="1:10" ht="21" x14ac:dyDescent="0.25">
      <c r="A37" s="59" t="s">
        <v>306</v>
      </c>
      <c r="B37" s="46" t="s">
        <v>124</v>
      </c>
      <c r="C37" s="44" t="s">
        <v>415</v>
      </c>
      <c r="D37" s="44" t="s">
        <v>449</v>
      </c>
      <c r="E37" s="45">
        <v>1620</v>
      </c>
      <c r="F37" s="42">
        <v>18</v>
      </c>
      <c r="G37" s="56">
        <f t="shared" si="8"/>
        <v>146</v>
      </c>
      <c r="H37" s="56">
        <f t="shared" si="9"/>
        <v>146</v>
      </c>
      <c r="I37" s="56">
        <f t="shared" si="10"/>
        <v>292</v>
      </c>
      <c r="J37" s="57">
        <f t="shared" si="11"/>
        <v>1912</v>
      </c>
    </row>
    <row r="38" spans="1:10" ht="21" x14ac:dyDescent="0.25">
      <c r="A38" s="59" t="s">
        <v>127</v>
      </c>
      <c r="B38" s="46" t="s">
        <v>128</v>
      </c>
      <c r="C38" s="44" t="s">
        <v>416</v>
      </c>
      <c r="D38" s="44" t="s">
        <v>442</v>
      </c>
      <c r="E38" s="45">
        <v>2000</v>
      </c>
      <c r="F38" s="42">
        <v>18</v>
      </c>
      <c r="G38" s="56">
        <f t="shared" si="8"/>
        <v>180</v>
      </c>
      <c r="H38" s="56">
        <f t="shared" si="9"/>
        <v>180</v>
      </c>
      <c r="I38" s="56">
        <f t="shared" si="10"/>
        <v>360</v>
      </c>
      <c r="J38" s="57">
        <f t="shared" si="11"/>
        <v>2360</v>
      </c>
    </row>
    <row r="39" spans="1:10" ht="21" x14ac:dyDescent="0.25">
      <c r="A39" s="59" t="s">
        <v>127</v>
      </c>
      <c r="B39" s="46" t="s">
        <v>128</v>
      </c>
      <c r="C39" s="44" t="s">
        <v>417</v>
      </c>
      <c r="D39" s="44" t="s">
        <v>445</v>
      </c>
      <c r="E39" s="45">
        <v>600</v>
      </c>
      <c r="F39" s="42">
        <v>18</v>
      </c>
      <c r="G39" s="56">
        <f t="shared" si="8"/>
        <v>54</v>
      </c>
      <c r="H39" s="56">
        <f t="shared" si="9"/>
        <v>54</v>
      </c>
      <c r="I39" s="56">
        <f t="shared" si="10"/>
        <v>108</v>
      </c>
      <c r="J39" s="57">
        <f t="shared" si="11"/>
        <v>708</v>
      </c>
    </row>
    <row r="40" spans="1:10" ht="21" x14ac:dyDescent="0.25">
      <c r="A40" s="59" t="s">
        <v>255</v>
      </c>
      <c r="B40" s="46" t="s">
        <v>256</v>
      </c>
      <c r="C40" s="44" t="s">
        <v>418</v>
      </c>
      <c r="D40" s="44" t="s">
        <v>451</v>
      </c>
      <c r="E40" s="45">
        <v>20880</v>
      </c>
      <c r="F40" s="42">
        <v>18</v>
      </c>
      <c r="G40" s="56">
        <f t="shared" si="8"/>
        <v>1879</v>
      </c>
      <c r="H40" s="56">
        <f t="shared" si="9"/>
        <v>1879</v>
      </c>
      <c r="I40" s="56">
        <f t="shared" si="10"/>
        <v>3758</v>
      </c>
      <c r="J40" s="57">
        <f t="shared" si="11"/>
        <v>24638</v>
      </c>
    </row>
    <row r="41" spans="1:10" ht="21" x14ac:dyDescent="0.25">
      <c r="A41" s="59" t="s">
        <v>306</v>
      </c>
      <c r="B41" s="46" t="s">
        <v>124</v>
      </c>
      <c r="C41" s="44" t="s">
        <v>419</v>
      </c>
      <c r="D41" s="44" t="s">
        <v>452</v>
      </c>
      <c r="E41" s="45">
        <v>650</v>
      </c>
      <c r="F41" s="42">
        <v>18</v>
      </c>
      <c r="G41" s="56">
        <f t="shared" si="8"/>
        <v>59</v>
      </c>
      <c r="H41" s="56">
        <f t="shared" si="9"/>
        <v>59</v>
      </c>
      <c r="I41" s="56">
        <f t="shared" si="10"/>
        <v>118</v>
      </c>
      <c r="J41" s="57">
        <f t="shared" si="11"/>
        <v>768</v>
      </c>
    </row>
    <row r="42" spans="1:10" ht="21" x14ac:dyDescent="0.25">
      <c r="A42" s="59" t="s">
        <v>306</v>
      </c>
      <c r="B42" s="46" t="s">
        <v>124</v>
      </c>
      <c r="C42" s="44" t="s">
        <v>420</v>
      </c>
      <c r="D42" s="44" t="s">
        <v>452</v>
      </c>
      <c r="E42" s="45">
        <v>1200</v>
      </c>
      <c r="F42" s="42">
        <v>18</v>
      </c>
      <c r="G42" s="56">
        <f t="shared" si="8"/>
        <v>108</v>
      </c>
      <c r="H42" s="56">
        <f t="shared" si="9"/>
        <v>108</v>
      </c>
      <c r="I42" s="56">
        <f t="shared" si="10"/>
        <v>216</v>
      </c>
      <c r="J42" s="57">
        <f t="shared" si="11"/>
        <v>1416</v>
      </c>
    </row>
    <row r="43" spans="1:10" ht="21" x14ac:dyDescent="0.25">
      <c r="A43" s="59" t="s">
        <v>306</v>
      </c>
      <c r="B43" s="46" t="s">
        <v>124</v>
      </c>
      <c r="C43" s="44" t="s">
        <v>421</v>
      </c>
      <c r="D43" s="44" t="s">
        <v>388</v>
      </c>
      <c r="E43" s="45">
        <v>1200</v>
      </c>
      <c r="F43" s="42">
        <v>18</v>
      </c>
      <c r="G43" s="56">
        <f t="shared" si="8"/>
        <v>108</v>
      </c>
      <c r="H43" s="56">
        <f t="shared" si="9"/>
        <v>108</v>
      </c>
      <c r="I43" s="56">
        <f t="shared" si="10"/>
        <v>216</v>
      </c>
      <c r="J43" s="57">
        <f t="shared" si="11"/>
        <v>1416</v>
      </c>
    </row>
    <row r="44" spans="1:10" ht="21" x14ac:dyDescent="0.25">
      <c r="A44" s="59" t="s">
        <v>306</v>
      </c>
      <c r="B44" s="46" t="s">
        <v>124</v>
      </c>
      <c r="C44" s="44" t="s">
        <v>422</v>
      </c>
      <c r="D44" s="44" t="s">
        <v>453</v>
      </c>
      <c r="E44" s="45">
        <v>1920</v>
      </c>
      <c r="F44" s="42">
        <v>18</v>
      </c>
      <c r="G44" s="56">
        <f t="shared" si="8"/>
        <v>173</v>
      </c>
      <c r="H44" s="56">
        <f t="shared" si="9"/>
        <v>173</v>
      </c>
      <c r="I44" s="56">
        <f t="shared" si="10"/>
        <v>346</v>
      </c>
      <c r="J44" s="57">
        <f t="shared" si="11"/>
        <v>2266</v>
      </c>
    </row>
    <row r="45" spans="1:10" ht="21" x14ac:dyDescent="0.25">
      <c r="A45" s="59" t="s">
        <v>306</v>
      </c>
      <c r="B45" s="46" t="s">
        <v>124</v>
      </c>
      <c r="C45" s="44" t="s">
        <v>423</v>
      </c>
      <c r="D45" s="44" t="s">
        <v>453</v>
      </c>
      <c r="E45" s="45">
        <v>264</v>
      </c>
      <c r="F45" s="42">
        <v>18</v>
      </c>
      <c r="G45" s="56">
        <f t="shared" si="8"/>
        <v>24</v>
      </c>
      <c r="H45" s="56">
        <f t="shared" si="9"/>
        <v>24</v>
      </c>
      <c r="I45" s="56">
        <f t="shared" si="10"/>
        <v>48</v>
      </c>
      <c r="J45" s="57">
        <f t="shared" si="11"/>
        <v>312</v>
      </c>
    </row>
    <row r="46" spans="1:10" ht="21" x14ac:dyDescent="0.25">
      <c r="A46" s="59" t="s">
        <v>306</v>
      </c>
      <c r="B46" s="46" t="s">
        <v>124</v>
      </c>
      <c r="C46" s="44" t="s">
        <v>424</v>
      </c>
      <c r="D46" s="44" t="s">
        <v>453</v>
      </c>
      <c r="E46" s="45">
        <v>396</v>
      </c>
      <c r="F46" s="42">
        <v>18</v>
      </c>
      <c r="G46" s="56">
        <f t="shared" si="8"/>
        <v>36</v>
      </c>
      <c r="H46" s="56">
        <f t="shared" si="9"/>
        <v>36</v>
      </c>
      <c r="I46" s="56">
        <f t="shared" si="10"/>
        <v>72</v>
      </c>
      <c r="J46" s="57">
        <f t="shared" si="11"/>
        <v>468</v>
      </c>
    </row>
    <row r="47" spans="1:10" ht="21" x14ac:dyDescent="0.25">
      <c r="A47" s="59" t="s">
        <v>306</v>
      </c>
      <c r="B47" s="46" t="s">
        <v>124</v>
      </c>
      <c r="C47" s="44" t="s">
        <v>425</v>
      </c>
      <c r="D47" s="44" t="s">
        <v>454</v>
      </c>
      <c r="E47" s="45">
        <v>1776</v>
      </c>
      <c r="F47" s="42">
        <v>18</v>
      </c>
      <c r="G47" s="56">
        <f t="shared" si="8"/>
        <v>160</v>
      </c>
      <c r="H47" s="56">
        <f t="shared" si="9"/>
        <v>160</v>
      </c>
      <c r="I47" s="56">
        <f t="shared" si="10"/>
        <v>320</v>
      </c>
      <c r="J47" s="57">
        <f t="shared" si="11"/>
        <v>2096</v>
      </c>
    </row>
    <row r="48" spans="1:10" ht="21" x14ac:dyDescent="0.25">
      <c r="A48" s="59" t="s">
        <v>306</v>
      </c>
      <c r="B48" s="46" t="s">
        <v>124</v>
      </c>
      <c r="C48" s="44" t="s">
        <v>426</v>
      </c>
      <c r="D48" s="44" t="s">
        <v>454</v>
      </c>
      <c r="E48" s="45">
        <v>1200</v>
      </c>
      <c r="F48" s="42">
        <v>18</v>
      </c>
      <c r="G48" s="56">
        <f t="shared" si="8"/>
        <v>108</v>
      </c>
      <c r="H48" s="56">
        <f t="shared" si="9"/>
        <v>108</v>
      </c>
      <c r="I48" s="56">
        <f t="shared" si="10"/>
        <v>216</v>
      </c>
      <c r="J48" s="57">
        <f t="shared" si="11"/>
        <v>1416</v>
      </c>
    </row>
    <row r="49" spans="1:10" ht="21" x14ac:dyDescent="0.25">
      <c r="A49" s="59" t="s">
        <v>127</v>
      </c>
      <c r="B49" s="46" t="s">
        <v>128</v>
      </c>
      <c r="C49" s="44" t="s">
        <v>427</v>
      </c>
      <c r="D49" s="44" t="s">
        <v>450</v>
      </c>
      <c r="E49" s="45">
        <v>8700</v>
      </c>
      <c r="F49" s="42">
        <v>18</v>
      </c>
      <c r="G49" s="56">
        <f t="shared" si="8"/>
        <v>783</v>
      </c>
      <c r="H49" s="56">
        <f t="shared" si="9"/>
        <v>783</v>
      </c>
      <c r="I49" s="56">
        <f t="shared" si="10"/>
        <v>1566</v>
      </c>
      <c r="J49" s="57">
        <f t="shared" si="11"/>
        <v>10266</v>
      </c>
    </row>
    <row r="50" spans="1:10" ht="21" x14ac:dyDescent="0.25">
      <c r="A50" s="59" t="s">
        <v>127</v>
      </c>
      <c r="B50" s="46" t="s">
        <v>128</v>
      </c>
      <c r="C50" s="44" t="s">
        <v>428</v>
      </c>
      <c r="D50" s="44" t="s">
        <v>450</v>
      </c>
      <c r="E50" s="45">
        <v>1840</v>
      </c>
      <c r="F50" s="42">
        <v>18</v>
      </c>
      <c r="G50" s="56">
        <f t="shared" si="8"/>
        <v>166</v>
      </c>
      <c r="H50" s="56">
        <f t="shared" si="9"/>
        <v>166</v>
      </c>
      <c r="I50" s="56">
        <f t="shared" si="10"/>
        <v>332</v>
      </c>
      <c r="J50" s="57">
        <f t="shared" si="11"/>
        <v>2172</v>
      </c>
    </row>
    <row r="51" spans="1:10" ht="21" x14ac:dyDescent="0.25">
      <c r="A51" s="59" t="s">
        <v>135</v>
      </c>
      <c r="B51" s="46" t="s">
        <v>136</v>
      </c>
      <c r="C51" s="44" t="s">
        <v>429</v>
      </c>
      <c r="D51" s="44" t="s">
        <v>455</v>
      </c>
      <c r="E51" s="45">
        <v>1368</v>
      </c>
      <c r="F51" s="42">
        <v>18</v>
      </c>
      <c r="G51" s="56">
        <f t="shared" si="8"/>
        <v>123</v>
      </c>
      <c r="H51" s="56">
        <f t="shared" si="9"/>
        <v>123</v>
      </c>
      <c r="I51" s="56">
        <f t="shared" si="10"/>
        <v>246</v>
      </c>
      <c r="J51" s="57">
        <f t="shared" si="11"/>
        <v>1614</v>
      </c>
    </row>
    <row r="52" spans="1:10" ht="21" x14ac:dyDescent="0.25">
      <c r="A52" s="59" t="s">
        <v>135</v>
      </c>
      <c r="B52" s="46" t="s">
        <v>136</v>
      </c>
      <c r="C52" s="44" t="s">
        <v>430</v>
      </c>
      <c r="D52" s="44" t="s">
        <v>455</v>
      </c>
      <c r="E52" s="45">
        <v>1368</v>
      </c>
      <c r="F52" s="42">
        <v>18</v>
      </c>
      <c r="G52" s="56">
        <f t="shared" si="8"/>
        <v>123</v>
      </c>
      <c r="H52" s="56">
        <f t="shared" si="9"/>
        <v>123</v>
      </c>
      <c r="I52" s="56">
        <f t="shared" si="10"/>
        <v>246</v>
      </c>
      <c r="J52" s="57">
        <f t="shared" si="11"/>
        <v>1614</v>
      </c>
    </row>
    <row r="53" spans="1:10" ht="21" x14ac:dyDescent="0.25">
      <c r="A53" s="59" t="s">
        <v>135</v>
      </c>
      <c r="B53" s="46" t="s">
        <v>136</v>
      </c>
      <c r="C53" s="44" t="s">
        <v>431</v>
      </c>
      <c r="D53" s="44" t="s">
        <v>455</v>
      </c>
      <c r="E53" s="45">
        <v>2400</v>
      </c>
      <c r="F53" s="42">
        <v>18</v>
      </c>
      <c r="G53" s="56">
        <f t="shared" si="8"/>
        <v>216</v>
      </c>
      <c r="H53" s="56">
        <f t="shared" si="9"/>
        <v>216</v>
      </c>
      <c r="I53" s="56">
        <f t="shared" si="10"/>
        <v>432</v>
      </c>
      <c r="J53" s="57">
        <f t="shared" si="11"/>
        <v>2832</v>
      </c>
    </row>
    <row r="54" spans="1:10" ht="21" x14ac:dyDescent="0.25">
      <c r="A54" s="59" t="s">
        <v>135</v>
      </c>
      <c r="B54" s="46" t="s">
        <v>136</v>
      </c>
      <c r="C54" s="44" t="s">
        <v>432</v>
      </c>
      <c r="D54" s="44" t="s">
        <v>456</v>
      </c>
      <c r="E54" s="45">
        <v>1722</v>
      </c>
      <c r="F54" s="42">
        <v>18</v>
      </c>
      <c r="G54" s="56">
        <f t="shared" si="8"/>
        <v>155</v>
      </c>
      <c r="H54" s="56">
        <f t="shared" si="9"/>
        <v>155</v>
      </c>
      <c r="I54" s="56">
        <f t="shared" si="10"/>
        <v>310</v>
      </c>
      <c r="J54" s="57">
        <f t="shared" si="11"/>
        <v>2032</v>
      </c>
    </row>
    <row r="55" spans="1:10" ht="21" x14ac:dyDescent="0.25">
      <c r="A55" s="59" t="s">
        <v>306</v>
      </c>
      <c r="B55" s="46" t="s">
        <v>124</v>
      </c>
      <c r="C55" s="44" t="s">
        <v>433</v>
      </c>
      <c r="D55" s="44" t="s">
        <v>456</v>
      </c>
      <c r="E55" s="45">
        <v>1800</v>
      </c>
      <c r="F55" s="42">
        <v>18</v>
      </c>
      <c r="G55" s="56">
        <f t="shared" si="8"/>
        <v>162</v>
      </c>
      <c r="H55" s="56">
        <f t="shared" si="9"/>
        <v>162</v>
      </c>
      <c r="I55" s="56">
        <f t="shared" si="10"/>
        <v>324</v>
      </c>
      <c r="J55" s="57">
        <f t="shared" si="11"/>
        <v>2124</v>
      </c>
    </row>
    <row r="56" spans="1:10" ht="21" x14ac:dyDescent="0.25">
      <c r="A56" s="59" t="s">
        <v>306</v>
      </c>
      <c r="B56" s="46" t="s">
        <v>124</v>
      </c>
      <c r="C56" s="44" t="s">
        <v>434</v>
      </c>
      <c r="D56" s="44" t="s">
        <v>456</v>
      </c>
      <c r="E56" s="45">
        <v>600</v>
      </c>
      <c r="F56" s="42">
        <v>18</v>
      </c>
      <c r="G56" s="56">
        <f t="shared" si="8"/>
        <v>54</v>
      </c>
      <c r="H56" s="56">
        <f t="shared" si="9"/>
        <v>54</v>
      </c>
      <c r="I56" s="56">
        <f t="shared" si="10"/>
        <v>108</v>
      </c>
      <c r="J56" s="57">
        <f t="shared" si="11"/>
        <v>708</v>
      </c>
    </row>
    <row r="57" spans="1:10" x14ac:dyDescent="0.25">
      <c r="A57" s="59"/>
      <c r="B57" s="46"/>
      <c r="C57" s="44"/>
      <c r="D57" s="44"/>
      <c r="E57" s="45"/>
      <c r="F57" s="42">
        <v>18</v>
      </c>
      <c r="G57" s="56">
        <f t="shared" si="8"/>
        <v>0</v>
      </c>
      <c r="H57" s="56">
        <f t="shared" si="9"/>
        <v>0</v>
      </c>
      <c r="I57" s="56">
        <f t="shared" si="10"/>
        <v>0</v>
      </c>
      <c r="J57" s="57">
        <f t="shared" si="11"/>
        <v>0</v>
      </c>
    </row>
    <row r="58" spans="1:10" x14ac:dyDescent="0.25">
      <c r="A58" s="59"/>
      <c r="B58" s="46"/>
      <c r="C58" s="44"/>
      <c r="D58" s="44"/>
      <c r="E58" s="45"/>
      <c r="F58" s="42">
        <v>18</v>
      </c>
      <c r="G58" s="56">
        <f t="shared" si="8"/>
        <v>0</v>
      </c>
      <c r="H58" s="56">
        <f t="shared" si="9"/>
        <v>0</v>
      </c>
      <c r="I58" s="56">
        <f t="shared" si="10"/>
        <v>0</v>
      </c>
      <c r="J58" s="57">
        <f t="shared" si="11"/>
        <v>0</v>
      </c>
    </row>
    <row r="59" spans="1:10" x14ac:dyDescent="0.25">
      <c r="A59" s="59"/>
      <c r="B59" s="46"/>
      <c r="C59" s="44"/>
      <c r="D59" s="44"/>
      <c r="E59" s="45"/>
      <c r="F59" s="42">
        <v>18</v>
      </c>
      <c r="G59" s="56">
        <f t="shared" si="8"/>
        <v>0</v>
      </c>
      <c r="H59" s="56">
        <f t="shared" si="9"/>
        <v>0</v>
      </c>
      <c r="I59" s="56">
        <f t="shared" si="10"/>
        <v>0</v>
      </c>
      <c r="J59" s="57">
        <f t="shared" si="11"/>
        <v>0</v>
      </c>
    </row>
    <row r="60" spans="1:10" x14ac:dyDescent="0.25">
      <c r="A60" s="59"/>
      <c r="B60" s="46"/>
      <c r="C60" s="44"/>
      <c r="D60" s="44"/>
      <c r="E60" s="45"/>
      <c r="F60" s="42">
        <v>18</v>
      </c>
      <c r="G60" s="56">
        <f t="shared" si="8"/>
        <v>0</v>
      </c>
      <c r="H60" s="56">
        <f t="shared" si="9"/>
        <v>0</v>
      </c>
      <c r="I60" s="56">
        <f t="shared" si="10"/>
        <v>0</v>
      </c>
      <c r="J60" s="57">
        <f t="shared" si="11"/>
        <v>0</v>
      </c>
    </row>
    <row r="61" spans="1:10" x14ac:dyDescent="0.25">
      <c r="A61" s="59"/>
      <c r="B61" s="46"/>
      <c r="C61" s="44"/>
      <c r="D61" s="44"/>
      <c r="E61" s="45"/>
      <c r="F61" s="42">
        <v>18</v>
      </c>
      <c r="G61" s="56">
        <f t="shared" si="8"/>
        <v>0</v>
      </c>
      <c r="H61" s="56">
        <f t="shared" si="9"/>
        <v>0</v>
      </c>
      <c r="I61" s="56">
        <f t="shared" si="10"/>
        <v>0</v>
      </c>
      <c r="J61" s="57">
        <f t="shared" si="11"/>
        <v>0</v>
      </c>
    </row>
    <row r="62" spans="1:10" x14ac:dyDescent="0.25">
      <c r="A62" s="59"/>
      <c r="B62" s="46"/>
      <c r="C62" s="44"/>
      <c r="D62" s="44"/>
      <c r="E62" s="45"/>
      <c r="F62" s="42">
        <v>18</v>
      </c>
      <c r="G62" s="56">
        <f t="shared" si="8"/>
        <v>0</v>
      </c>
      <c r="H62" s="56">
        <f t="shared" si="9"/>
        <v>0</v>
      </c>
      <c r="I62" s="56">
        <f t="shared" si="10"/>
        <v>0</v>
      </c>
      <c r="J62" s="57">
        <f t="shared" si="11"/>
        <v>0</v>
      </c>
    </row>
    <row r="63" spans="1:10" x14ac:dyDescent="0.25">
      <c r="A63" s="59"/>
      <c r="B63" s="46"/>
      <c r="C63" s="44"/>
      <c r="D63" s="44"/>
      <c r="E63" s="45"/>
      <c r="F63" s="42">
        <v>18</v>
      </c>
      <c r="G63" s="56">
        <f t="shared" si="8"/>
        <v>0</v>
      </c>
      <c r="H63" s="56">
        <f t="shared" si="9"/>
        <v>0</v>
      </c>
      <c r="I63" s="56">
        <f t="shared" si="10"/>
        <v>0</v>
      </c>
      <c r="J63" s="57">
        <f t="shared" si="11"/>
        <v>0</v>
      </c>
    </row>
    <row r="64" spans="1:10" x14ac:dyDescent="0.25">
      <c r="A64" s="59"/>
      <c r="B64" s="46"/>
      <c r="C64" s="44"/>
      <c r="D64" s="44"/>
      <c r="E64" s="45"/>
      <c r="F64" s="42">
        <v>18</v>
      </c>
      <c r="G64" s="56">
        <f t="shared" si="8"/>
        <v>0</v>
      </c>
      <c r="H64" s="56">
        <f t="shared" si="9"/>
        <v>0</v>
      </c>
      <c r="I64" s="56">
        <f t="shared" si="10"/>
        <v>0</v>
      </c>
      <c r="J64" s="57">
        <f t="shared" si="11"/>
        <v>0</v>
      </c>
    </row>
    <row r="65" spans="1:10" x14ac:dyDescent="0.25">
      <c r="A65" s="59"/>
      <c r="B65" s="46"/>
      <c r="C65" s="44"/>
      <c r="D65" s="44"/>
      <c r="E65" s="45"/>
      <c r="F65" s="42">
        <v>18</v>
      </c>
      <c r="G65" s="56">
        <f t="shared" si="8"/>
        <v>0</v>
      </c>
      <c r="H65" s="56">
        <f t="shared" si="9"/>
        <v>0</v>
      </c>
      <c r="I65" s="56">
        <f t="shared" si="10"/>
        <v>0</v>
      </c>
      <c r="J65" s="57">
        <f t="shared" si="11"/>
        <v>0</v>
      </c>
    </row>
    <row r="66" spans="1:10" x14ac:dyDescent="0.25">
      <c r="A66" s="59"/>
      <c r="B66" s="46"/>
      <c r="C66" s="44"/>
      <c r="D66" s="44"/>
      <c r="E66" s="45"/>
      <c r="F66" s="42">
        <v>18</v>
      </c>
      <c r="G66" s="56">
        <f t="shared" si="8"/>
        <v>0</v>
      </c>
      <c r="H66" s="56">
        <f t="shared" si="9"/>
        <v>0</v>
      </c>
      <c r="I66" s="56">
        <f t="shared" si="10"/>
        <v>0</v>
      </c>
      <c r="J66" s="57">
        <f t="shared" si="11"/>
        <v>0</v>
      </c>
    </row>
    <row r="67" spans="1:10" x14ac:dyDescent="0.25">
      <c r="A67" s="59"/>
      <c r="B67" s="46"/>
      <c r="C67" s="44"/>
      <c r="D67" s="44"/>
      <c r="E67" s="45"/>
      <c r="F67" s="42">
        <v>18</v>
      </c>
      <c r="G67" s="56">
        <f t="shared" si="8"/>
        <v>0</v>
      </c>
      <c r="H67" s="56">
        <f t="shared" si="9"/>
        <v>0</v>
      </c>
      <c r="I67" s="56">
        <f t="shared" si="10"/>
        <v>0</v>
      </c>
      <c r="J67" s="57">
        <f t="shared" si="11"/>
        <v>0</v>
      </c>
    </row>
    <row r="68" spans="1:10" x14ac:dyDescent="0.25">
      <c r="A68" s="59"/>
      <c r="B68" s="46"/>
      <c r="C68" s="44"/>
      <c r="D68" s="44"/>
      <c r="E68" s="45"/>
      <c r="F68" s="42">
        <v>18</v>
      </c>
      <c r="G68" s="56">
        <f t="shared" si="8"/>
        <v>0</v>
      </c>
      <c r="H68" s="56">
        <f t="shared" si="9"/>
        <v>0</v>
      </c>
      <c r="I68" s="56">
        <f t="shared" si="10"/>
        <v>0</v>
      </c>
      <c r="J68" s="57">
        <f t="shared" si="11"/>
        <v>0</v>
      </c>
    </row>
    <row r="69" spans="1:10" x14ac:dyDescent="0.25">
      <c r="A69" s="59"/>
      <c r="B69" s="46"/>
      <c r="C69" s="44"/>
      <c r="D69" s="44"/>
      <c r="E69" s="45"/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59"/>
      <c r="B70" s="46"/>
      <c r="C70" s="44"/>
      <c r="D70" s="44"/>
      <c r="E70" s="45"/>
      <c r="F70" s="42">
        <v>18</v>
      </c>
      <c r="G70" s="56">
        <f t="shared" si="8"/>
        <v>0</v>
      </c>
      <c r="H70" s="56">
        <f t="shared" si="9"/>
        <v>0</v>
      </c>
      <c r="I70" s="56">
        <f t="shared" si="10"/>
        <v>0</v>
      </c>
      <c r="J70" s="57">
        <f t="shared" si="11"/>
        <v>0</v>
      </c>
    </row>
    <row r="71" spans="1:10" x14ac:dyDescent="0.25">
      <c r="A71" s="59"/>
      <c r="B71" s="46"/>
      <c r="C71" s="44"/>
      <c r="D71" s="44"/>
      <c r="E71" s="45"/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59"/>
      <c r="B72" s="46"/>
      <c r="C72" s="44"/>
      <c r="D72" s="44"/>
      <c r="E72" s="45"/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59"/>
      <c r="B73" s="46"/>
      <c r="C73" s="44"/>
      <c r="D73" s="44"/>
      <c r="E73" s="45"/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59"/>
      <c r="B74" s="46"/>
      <c r="C74" s="44"/>
      <c r="D74" s="44"/>
      <c r="E74" s="45"/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59"/>
      <c r="B75" s="46"/>
      <c r="C75" s="44"/>
      <c r="D75" s="44"/>
      <c r="E75" s="45"/>
      <c r="F75" s="42">
        <v>18</v>
      </c>
      <c r="G75" s="56">
        <f t="shared" ref="G75:G116" si="12">ROUND((E75*F75%)/2,)</f>
        <v>0</v>
      </c>
      <c r="H75" s="56">
        <f t="shared" ref="H75:H116" si="13">G75</f>
        <v>0</v>
      </c>
      <c r="I75" s="56">
        <f t="shared" ref="I75:I116" si="14">G75+H75</f>
        <v>0</v>
      </c>
      <c r="J75" s="57">
        <f t="shared" ref="J75:J116" si="15">E75+I75</f>
        <v>0</v>
      </c>
    </row>
    <row r="76" spans="1:10" x14ac:dyDescent="0.25">
      <c r="A76" s="59"/>
      <c r="B76" s="46"/>
      <c r="C76" s="44"/>
      <c r="D76" s="44"/>
      <c r="E76" s="45"/>
      <c r="F76" s="42">
        <v>18</v>
      </c>
      <c r="G76" s="56">
        <f t="shared" si="12"/>
        <v>0</v>
      </c>
      <c r="H76" s="56">
        <f t="shared" si="13"/>
        <v>0</v>
      </c>
      <c r="I76" s="56">
        <f t="shared" si="14"/>
        <v>0</v>
      </c>
      <c r="J76" s="57">
        <f t="shared" si="15"/>
        <v>0</v>
      </c>
    </row>
    <row r="77" spans="1:10" x14ac:dyDescent="0.25">
      <c r="A77" s="59"/>
      <c r="B77" s="46"/>
      <c r="C77" s="44"/>
      <c r="D77" s="44"/>
      <c r="E77" s="45"/>
      <c r="F77" s="42">
        <v>18</v>
      </c>
      <c r="G77" s="56">
        <f t="shared" si="12"/>
        <v>0</v>
      </c>
      <c r="H77" s="56">
        <f t="shared" si="13"/>
        <v>0</v>
      </c>
      <c r="I77" s="56">
        <f t="shared" si="14"/>
        <v>0</v>
      </c>
      <c r="J77" s="57">
        <f t="shared" si="15"/>
        <v>0</v>
      </c>
    </row>
    <row r="78" spans="1:10" x14ac:dyDescent="0.25">
      <c r="A78" s="59"/>
      <c r="B78" s="46"/>
      <c r="C78" s="44"/>
      <c r="D78" s="44"/>
      <c r="E78" s="45"/>
      <c r="F78" s="42">
        <v>18</v>
      </c>
      <c r="G78" s="56">
        <f t="shared" si="12"/>
        <v>0</v>
      </c>
      <c r="H78" s="56">
        <f t="shared" si="13"/>
        <v>0</v>
      </c>
      <c r="I78" s="56">
        <f t="shared" si="14"/>
        <v>0</v>
      </c>
      <c r="J78" s="57">
        <f t="shared" si="15"/>
        <v>0</v>
      </c>
    </row>
    <row r="79" spans="1:10" x14ac:dyDescent="0.25">
      <c r="A79" s="59"/>
      <c r="B79" s="46"/>
      <c r="C79" s="44"/>
      <c r="D79" s="44"/>
      <c r="E79" s="45"/>
      <c r="F79" s="42">
        <v>18</v>
      </c>
      <c r="G79" s="56">
        <f t="shared" si="12"/>
        <v>0</v>
      </c>
      <c r="H79" s="56">
        <f t="shared" si="13"/>
        <v>0</v>
      </c>
      <c r="I79" s="56">
        <f t="shared" si="14"/>
        <v>0</v>
      </c>
      <c r="J79" s="57">
        <f t="shared" si="15"/>
        <v>0</v>
      </c>
    </row>
    <row r="80" spans="1:10" x14ac:dyDescent="0.25">
      <c r="A80" s="59"/>
      <c r="B80" s="46"/>
      <c r="C80" s="44"/>
      <c r="D80" s="44"/>
      <c r="E80" s="45"/>
      <c r="F80" s="42">
        <v>18</v>
      </c>
      <c r="G80" s="56">
        <f t="shared" si="12"/>
        <v>0</v>
      </c>
      <c r="H80" s="56">
        <f t="shared" si="13"/>
        <v>0</v>
      </c>
      <c r="I80" s="56">
        <f t="shared" si="14"/>
        <v>0</v>
      </c>
      <c r="J80" s="57">
        <f t="shared" si="15"/>
        <v>0</v>
      </c>
    </row>
    <row r="81" spans="1:10" x14ac:dyDescent="0.25">
      <c r="A81" s="59"/>
      <c r="B81" s="46"/>
      <c r="C81" s="44"/>
      <c r="D81" s="44"/>
      <c r="E81" s="45"/>
      <c r="F81" s="42">
        <v>18</v>
      </c>
      <c r="G81" s="56">
        <f t="shared" si="12"/>
        <v>0</v>
      </c>
      <c r="H81" s="56">
        <f t="shared" si="13"/>
        <v>0</v>
      </c>
      <c r="I81" s="56">
        <f t="shared" si="14"/>
        <v>0</v>
      </c>
      <c r="J81" s="57">
        <f t="shared" si="15"/>
        <v>0</v>
      </c>
    </row>
    <row r="82" spans="1:10" x14ac:dyDescent="0.25">
      <c r="A82" s="59"/>
      <c r="B82" s="46"/>
      <c r="C82" s="44"/>
      <c r="D82" s="44"/>
      <c r="E82" s="45"/>
      <c r="F82" s="42">
        <v>18</v>
      </c>
      <c r="G82" s="56">
        <f t="shared" si="12"/>
        <v>0</v>
      </c>
      <c r="H82" s="56">
        <f t="shared" si="13"/>
        <v>0</v>
      </c>
      <c r="I82" s="56">
        <f t="shared" si="14"/>
        <v>0</v>
      </c>
      <c r="J82" s="57">
        <f t="shared" si="15"/>
        <v>0</v>
      </c>
    </row>
    <row r="83" spans="1:10" x14ac:dyDescent="0.25">
      <c r="A83" s="59"/>
      <c r="B83" s="46"/>
      <c r="C83" s="44"/>
      <c r="D83" s="44"/>
      <c r="E83" s="45"/>
      <c r="F83" s="42">
        <v>18</v>
      </c>
      <c r="G83" s="56">
        <f t="shared" si="12"/>
        <v>0</v>
      </c>
      <c r="H83" s="56">
        <f t="shared" si="13"/>
        <v>0</v>
      </c>
      <c r="I83" s="56">
        <f t="shared" si="14"/>
        <v>0</v>
      </c>
      <c r="J83" s="57">
        <f t="shared" si="15"/>
        <v>0</v>
      </c>
    </row>
    <row r="84" spans="1:10" x14ac:dyDescent="0.25">
      <c r="A84" s="59"/>
      <c r="B84" s="46"/>
      <c r="C84" s="44"/>
      <c r="D84" s="44"/>
      <c r="E84" s="45"/>
      <c r="F84" s="42">
        <v>18</v>
      </c>
      <c r="G84" s="56">
        <f t="shared" si="12"/>
        <v>0</v>
      </c>
      <c r="H84" s="56">
        <f t="shared" si="13"/>
        <v>0</v>
      </c>
      <c r="I84" s="56">
        <f t="shared" si="14"/>
        <v>0</v>
      </c>
      <c r="J84" s="57">
        <f t="shared" si="15"/>
        <v>0</v>
      </c>
    </row>
    <row r="85" spans="1:10" x14ac:dyDescent="0.25">
      <c r="A85" s="59"/>
      <c r="B85" s="46"/>
      <c r="C85" s="44"/>
      <c r="D85" s="44"/>
      <c r="E85" s="45"/>
      <c r="F85" s="42">
        <v>18</v>
      </c>
      <c r="G85" s="56">
        <f t="shared" si="12"/>
        <v>0</v>
      </c>
      <c r="H85" s="56">
        <f t="shared" si="13"/>
        <v>0</v>
      </c>
      <c r="I85" s="56">
        <f t="shared" si="14"/>
        <v>0</v>
      </c>
      <c r="J85" s="57">
        <f t="shared" si="15"/>
        <v>0</v>
      </c>
    </row>
    <row r="86" spans="1:10" x14ac:dyDescent="0.25">
      <c r="A86" s="59"/>
      <c r="B86" s="46"/>
      <c r="C86" s="44"/>
      <c r="D86" s="44"/>
      <c r="E86" s="45"/>
      <c r="F86" s="42">
        <v>18</v>
      </c>
      <c r="G86" s="56">
        <f t="shared" si="12"/>
        <v>0</v>
      </c>
      <c r="H86" s="56">
        <f t="shared" si="13"/>
        <v>0</v>
      </c>
      <c r="I86" s="56">
        <f t="shared" si="14"/>
        <v>0</v>
      </c>
      <c r="J86" s="57">
        <f t="shared" si="15"/>
        <v>0</v>
      </c>
    </row>
    <row r="87" spans="1:10" x14ac:dyDescent="0.25">
      <c r="A87" s="59"/>
      <c r="B87" s="46"/>
      <c r="C87" s="44"/>
      <c r="D87" s="44"/>
      <c r="E87" s="45"/>
      <c r="F87" s="42">
        <v>18</v>
      </c>
      <c r="G87" s="56">
        <f t="shared" si="12"/>
        <v>0</v>
      </c>
      <c r="H87" s="56">
        <f t="shared" si="13"/>
        <v>0</v>
      </c>
      <c r="I87" s="56">
        <f t="shared" si="14"/>
        <v>0</v>
      </c>
      <c r="J87" s="57">
        <f t="shared" si="15"/>
        <v>0</v>
      </c>
    </row>
    <row r="88" spans="1:10" x14ac:dyDescent="0.25">
      <c r="A88" s="59"/>
      <c r="B88" s="46"/>
      <c r="C88" s="44"/>
      <c r="D88" s="44"/>
      <c r="E88" s="45"/>
      <c r="F88" s="42">
        <v>18</v>
      </c>
      <c r="G88" s="56">
        <f t="shared" si="12"/>
        <v>0</v>
      </c>
      <c r="H88" s="56">
        <f t="shared" si="13"/>
        <v>0</v>
      </c>
      <c r="I88" s="56">
        <f t="shared" si="14"/>
        <v>0</v>
      </c>
      <c r="J88" s="57">
        <f t="shared" si="15"/>
        <v>0</v>
      </c>
    </row>
    <row r="89" spans="1:10" x14ac:dyDescent="0.25">
      <c r="A89" s="59"/>
      <c r="B89" s="46"/>
      <c r="C89" s="44"/>
      <c r="D89" s="44"/>
      <c r="E89" s="45"/>
      <c r="F89" s="42">
        <v>18</v>
      </c>
      <c r="G89" s="56">
        <f t="shared" si="12"/>
        <v>0</v>
      </c>
      <c r="H89" s="56">
        <f t="shared" si="13"/>
        <v>0</v>
      </c>
      <c r="I89" s="56">
        <f t="shared" si="14"/>
        <v>0</v>
      </c>
      <c r="J89" s="57">
        <f t="shared" si="15"/>
        <v>0</v>
      </c>
    </row>
    <row r="90" spans="1:10" x14ac:dyDescent="0.25">
      <c r="A90" s="59"/>
      <c r="B90" s="46"/>
      <c r="C90" s="44"/>
      <c r="D90" s="44"/>
      <c r="E90" s="45"/>
      <c r="F90" s="42">
        <v>18</v>
      </c>
      <c r="G90" s="56">
        <f t="shared" si="12"/>
        <v>0</v>
      </c>
      <c r="H90" s="56">
        <f t="shared" si="13"/>
        <v>0</v>
      </c>
      <c r="I90" s="56">
        <f t="shared" si="14"/>
        <v>0</v>
      </c>
      <c r="J90" s="57">
        <f t="shared" si="15"/>
        <v>0</v>
      </c>
    </row>
    <row r="91" spans="1:10" x14ac:dyDescent="0.25">
      <c r="A91" s="59"/>
      <c r="B91" s="46"/>
      <c r="C91" s="44"/>
      <c r="D91" s="44"/>
      <c r="E91" s="45"/>
      <c r="F91" s="42">
        <v>18</v>
      </c>
      <c r="G91" s="56">
        <f t="shared" si="12"/>
        <v>0</v>
      </c>
      <c r="H91" s="56">
        <f t="shared" si="13"/>
        <v>0</v>
      </c>
      <c r="I91" s="56">
        <f t="shared" si="14"/>
        <v>0</v>
      </c>
      <c r="J91" s="57">
        <f t="shared" si="15"/>
        <v>0</v>
      </c>
    </row>
    <row r="92" spans="1:10" x14ac:dyDescent="0.25">
      <c r="A92" s="59"/>
      <c r="B92" s="46"/>
      <c r="C92" s="44"/>
      <c r="D92" s="44"/>
      <c r="E92" s="45"/>
      <c r="F92" s="42">
        <v>18</v>
      </c>
      <c r="G92" s="56">
        <f t="shared" si="12"/>
        <v>0</v>
      </c>
      <c r="H92" s="56">
        <f t="shared" si="13"/>
        <v>0</v>
      </c>
      <c r="I92" s="56">
        <f t="shared" si="14"/>
        <v>0</v>
      </c>
      <c r="J92" s="57">
        <f t="shared" si="15"/>
        <v>0</v>
      </c>
    </row>
    <row r="93" spans="1:10" x14ac:dyDescent="0.25">
      <c r="A93" s="59"/>
      <c r="B93" s="46"/>
      <c r="C93" s="44"/>
      <c r="D93" s="44"/>
      <c r="E93" s="45"/>
      <c r="F93" s="42">
        <v>18</v>
      </c>
      <c r="G93" s="56">
        <f t="shared" si="12"/>
        <v>0</v>
      </c>
      <c r="H93" s="56">
        <f t="shared" si="13"/>
        <v>0</v>
      </c>
      <c r="I93" s="56">
        <f t="shared" si="14"/>
        <v>0</v>
      </c>
      <c r="J93" s="57">
        <f t="shared" si="15"/>
        <v>0</v>
      </c>
    </row>
    <row r="94" spans="1:10" x14ac:dyDescent="0.25">
      <c r="A94" s="59"/>
      <c r="B94" s="46"/>
      <c r="C94" s="44"/>
      <c r="D94" s="44"/>
      <c r="E94" s="45"/>
      <c r="F94" s="42">
        <v>18</v>
      </c>
      <c r="G94" s="56">
        <f t="shared" si="12"/>
        <v>0</v>
      </c>
      <c r="H94" s="56">
        <f t="shared" si="13"/>
        <v>0</v>
      </c>
      <c r="I94" s="56">
        <f t="shared" si="14"/>
        <v>0</v>
      </c>
      <c r="J94" s="57">
        <f t="shared" si="15"/>
        <v>0</v>
      </c>
    </row>
    <row r="95" spans="1:10" x14ac:dyDescent="0.25">
      <c r="A95" s="59"/>
      <c r="B95" s="46"/>
      <c r="C95" s="44"/>
      <c r="D95" s="44"/>
      <c r="E95" s="45"/>
      <c r="F95" s="42">
        <v>18</v>
      </c>
      <c r="G95" s="56">
        <f t="shared" si="12"/>
        <v>0</v>
      </c>
      <c r="H95" s="56">
        <f t="shared" si="13"/>
        <v>0</v>
      </c>
      <c r="I95" s="56">
        <f t="shared" si="14"/>
        <v>0</v>
      </c>
      <c r="J95" s="57">
        <f t="shared" si="15"/>
        <v>0</v>
      </c>
    </row>
    <row r="96" spans="1:10" x14ac:dyDescent="0.25">
      <c r="A96" s="59"/>
      <c r="B96" s="46"/>
      <c r="C96" s="44"/>
      <c r="D96" s="44"/>
      <c r="E96" s="45"/>
      <c r="F96" s="42">
        <v>18</v>
      </c>
      <c r="G96" s="56">
        <f t="shared" si="12"/>
        <v>0</v>
      </c>
      <c r="H96" s="56">
        <f t="shared" si="13"/>
        <v>0</v>
      </c>
      <c r="I96" s="56">
        <f t="shared" si="14"/>
        <v>0</v>
      </c>
      <c r="J96" s="57">
        <f t="shared" si="15"/>
        <v>0</v>
      </c>
    </row>
    <row r="97" spans="1:10" x14ac:dyDescent="0.25">
      <c r="A97" s="59"/>
      <c r="B97" s="46"/>
      <c r="C97" s="44"/>
      <c r="D97" s="44"/>
      <c r="E97" s="45"/>
      <c r="F97" s="42">
        <v>18</v>
      </c>
      <c r="G97" s="56">
        <f t="shared" si="12"/>
        <v>0</v>
      </c>
      <c r="H97" s="56">
        <f t="shared" si="13"/>
        <v>0</v>
      </c>
      <c r="I97" s="56">
        <f t="shared" si="14"/>
        <v>0</v>
      </c>
      <c r="J97" s="57">
        <f t="shared" si="15"/>
        <v>0</v>
      </c>
    </row>
    <row r="98" spans="1:10" x14ac:dyDescent="0.25">
      <c r="A98" s="59"/>
      <c r="B98" s="46"/>
      <c r="C98" s="44"/>
      <c r="D98" s="44"/>
      <c r="E98" s="45"/>
      <c r="F98" s="42">
        <v>18</v>
      </c>
      <c r="G98" s="56">
        <f t="shared" si="12"/>
        <v>0</v>
      </c>
      <c r="H98" s="56">
        <f t="shared" si="13"/>
        <v>0</v>
      </c>
      <c r="I98" s="56">
        <f t="shared" si="14"/>
        <v>0</v>
      </c>
      <c r="J98" s="57">
        <f t="shared" si="15"/>
        <v>0</v>
      </c>
    </row>
    <row r="99" spans="1:10" x14ac:dyDescent="0.25">
      <c r="A99" s="59"/>
      <c r="B99" s="46"/>
      <c r="C99" s="44"/>
      <c r="D99" s="44"/>
      <c r="E99" s="45"/>
      <c r="F99" s="42">
        <v>18</v>
      </c>
      <c r="G99" s="56">
        <f t="shared" si="12"/>
        <v>0</v>
      </c>
      <c r="H99" s="56">
        <f t="shared" si="13"/>
        <v>0</v>
      </c>
      <c r="I99" s="56">
        <f t="shared" si="14"/>
        <v>0</v>
      </c>
      <c r="J99" s="57">
        <f t="shared" si="15"/>
        <v>0</v>
      </c>
    </row>
    <row r="100" spans="1:10" x14ac:dyDescent="0.25">
      <c r="A100" s="59"/>
      <c r="B100" s="46"/>
      <c r="C100" s="44"/>
      <c r="D100" s="44"/>
      <c r="E100" s="45"/>
      <c r="F100" s="42">
        <v>18</v>
      </c>
      <c r="G100" s="56">
        <f t="shared" si="12"/>
        <v>0</v>
      </c>
      <c r="H100" s="56">
        <f t="shared" si="13"/>
        <v>0</v>
      </c>
      <c r="I100" s="56">
        <f t="shared" si="14"/>
        <v>0</v>
      </c>
      <c r="J100" s="57">
        <f t="shared" si="15"/>
        <v>0</v>
      </c>
    </row>
    <row r="101" spans="1:10" x14ac:dyDescent="0.25">
      <c r="A101" s="59"/>
      <c r="B101" s="46"/>
      <c r="C101" s="44"/>
      <c r="D101" s="44"/>
      <c r="E101" s="45"/>
      <c r="F101" s="42">
        <v>18</v>
      </c>
      <c r="G101" s="56">
        <f t="shared" si="12"/>
        <v>0</v>
      </c>
      <c r="H101" s="56">
        <f t="shared" si="13"/>
        <v>0</v>
      </c>
      <c r="I101" s="56">
        <f t="shared" si="14"/>
        <v>0</v>
      </c>
      <c r="J101" s="57">
        <f t="shared" si="15"/>
        <v>0</v>
      </c>
    </row>
    <row r="102" spans="1:10" x14ac:dyDescent="0.25">
      <c r="A102" s="59"/>
      <c r="B102" s="46"/>
      <c r="C102" s="44"/>
      <c r="D102" s="44"/>
      <c r="E102" s="45"/>
      <c r="F102" s="42">
        <v>18</v>
      </c>
      <c r="G102" s="56">
        <f t="shared" si="12"/>
        <v>0</v>
      </c>
      <c r="H102" s="56">
        <f t="shared" si="13"/>
        <v>0</v>
      </c>
      <c r="I102" s="56">
        <f t="shared" si="14"/>
        <v>0</v>
      </c>
      <c r="J102" s="57">
        <f t="shared" si="15"/>
        <v>0</v>
      </c>
    </row>
    <row r="103" spans="1:10" x14ac:dyDescent="0.25">
      <c r="A103" s="59"/>
      <c r="B103" s="46"/>
      <c r="C103" s="44"/>
      <c r="D103" s="44"/>
      <c r="E103" s="45"/>
      <c r="F103" s="42">
        <v>18</v>
      </c>
      <c r="G103" s="56">
        <f t="shared" si="12"/>
        <v>0</v>
      </c>
      <c r="H103" s="56">
        <f t="shared" si="13"/>
        <v>0</v>
      </c>
      <c r="I103" s="56">
        <f t="shared" si="14"/>
        <v>0</v>
      </c>
      <c r="J103" s="57">
        <f t="shared" si="15"/>
        <v>0</v>
      </c>
    </row>
    <row r="104" spans="1:10" x14ac:dyDescent="0.25">
      <c r="A104" s="59"/>
      <c r="B104" s="46"/>
      <c r="C104" s="44"/>
      <c r="D104" s="44"/>
      <c r="E104" s="45"/>
      <c r="F104" s="42">
        <v>18</v>
      </c>
      <c r="G104" s="56">
        <f t="shared" si="12"/>
        <v>0</v>
      </c>
      <c r="H104" s="56">
        <f t="shared" si="13"/>
        <v>0</v>
      </c>
      <c r="I104" s="56">
        <f t="shared" si="14"/>
        <v>0</v>
      </c>
      <c r="J104" s="57">
        <f t="shared" si="15"/>
        <v>0</v>
      </c>
    </row>
    <row r="105" spans="1:10" x14ac:dyDescent="0.25">
      <c r="A105" s="59"/>
      <c r="B105" s="46"/>
      <c r="C105" s="44"/>
      <c r="D105" s="44"/>
      <c r="E105" s="45"/>
      <c r="F105" s="42">
        <v>18</v>
      </c>
      <c r="G105" s="56">
        <f t="shared" si="12"/>
        <v>0</v>
      </c>
      <c r="H105" s="56">
        <f t="shared" si="13"/>
        <v>0</v>
      </c>
      <c r="I105" s="56">
        <f t="shared" si="14"/>
        <v>0</v>
      </c>
      <c r="J105" s="57">
        <f t="shared" si="15"/>
        <v>0</v>
      </c>
    </row>
    <row r="106" spans="1:10" x14ac:dyDescent="0.25">
      <c r="A106" s="59"/>
      <c r="B106" s="46"/>
      <c r="C106" s="44"/>
      <c r="D106" s="44"/>
      <c r="E106" s="45"/>
      <c r="F106" s="42">
        <v>18</v>
      </c>
      <c r="G106" s="56">
        <f t="shared" si="12"/>
        <v>0</v>
      </c>
      <c r="H106" s="56">
        <f t="shared" si="13"/>
        <v>0</v>
      </c>
      <c r="I106" s="56">
        <f t="shared" si="14"/>
        <v>0</v>
      </c>
      <c r="J106" s="57">
        <f t="shared" si="15"/>
        <v>0</v>
      </c>
    </row>
    <row r="107" spans="1:10" x14ac:dyDescent="0.25">
      <c r="A107" s="59"/>
      <c r="B107" s="46"/>
      <c r="C107" s="44"/>
      <c r="D107" s="44"/>
      <c r="E107" s="45"/>
      <c r="F107" s="42">
        <v>18</v>
      </c>
      <c r="G107" s="56">
        <f t="shared" si="12"/>
        <v>0</v>
      </c>
      <c r="H107" s="56">
        <f t="shared" si="13"/>
        <v>0</v>
      </c>
      <c r="I107" s="56">
        <f t="shared" si="14"/>
        <v>0</v>
      </c>
      <c r="J107" s="57">
        <f t="shared" si="15"/>
        <v>0</v>
      </c>
    </row>
    <row r="108" spans="1:10" x14ac:dyDescent="0.25">
      <c r="A108" s="59"/>
      <c r="B108" s="46"/>
      <c r="C108" s="44"/>
      <c r="D108" s="44"/>
      <c r="E108" s="45"/>
      <c r="F108" s="42">
        <v>18</v>
      </c>
      <c r="G108" s="56">
        <f t="shared" si="12"/>
        <v>0</v>
      </c>
      <c r="H108" s="56">
        <f t="shared" si="13"/>
        <v>0</v>
      </c>
      <c r="I108" s="56">
        <f t="shared" si="14"/>
        <v>0</v>
      </c>
      <c r="J108" s="57">
        <f t="shared" si="15"/>
        <v>0</v>
      </c>
    </row>
    <row r="109" spans="1:10" x14ac:dyDescent="0.25">
      <c r="A109" s="59"/>
      <c r="B109" s="46"/>
      <c r="C109" s="44"/>
      <c r="D109" s="44"/>
      <c r="E109" s="45"/>
      <c r="F109" s="42">
        <v>18</v>
      </c>
      <c r="G109" s="56">
        <f t="shared" si="12"/>
        <v>0</v>
      </c>
      <c r="H109" s="56">
        <f t="shared" si="13"/>
        <v>0</v>
      </c>
      <c r="I109" s="56">
        <f t="shared" si="14"/>
        <v>0</v>
      </c>
      <c r="J109" s="57">
        <f t="shared" si="15"/>
        <v>0</v>
      </c>
    </row>
    <row r="110" spans="1:10" x14ac:dyDescent="0.25">
      <c r="A110" s="59"/>
      <c r="B110" s="46"/>
      <c r="C110" s="44"/>
      <c r="D110" s="44"/>
      <c r="E110" s="45"/>
      <c r="F110" s="42">
        <v>18</v>
      </c>
      <c r="G110" s="56">
        <f t="shared" si="12"/>
        <v>0</v>
      </c>
      <c r="H110" s="56">
        <f t="shared" si="13"/>
        <v>0</v>
      </c>
      <c r="I110" s="56">
        <f t="shared" si="14"/>
        <v>0</v>
      </c>
      <c r="J110" s="57">
        <f t="shared" si="15"/>
        <v>0</v>
      </c>
    </row>
    <row r="111" spans="1:10" x14ac:dyDescent="0.25">
      <c r="A111" s="59"/>
      <c r="B111" s="46"/>
      <c r="C111" s="44"/>
      <c r="D111" s="44"/>
      <c r="E111" s="45"/>
      <c r="F111" s="42">
        <v>18</v>
      </c>
      <c r="G111" s="56">
        <f t="shared" si="12"/>
        <v>0</v>
      </c>
      <c r="H111" s="56">
        <f t="shared" si="13"/>
        <v>0</v>
      </c>
      <c r="I111" s="56">
        <f t="shared" si="14"/>
        <v>0</v>
      </c>
      <c r="J111" s="57">
        <f t="shared" si="15"/>
        <v>0</v>
      </c>
    </row>
    <row r="112" spans="1:10" x14ac:dyDescent="0.25">
      <c r="A112" s="59"/>
      <c r="B112" s="46"/>
      <c r="C112" s="44"/>
      <c r="D112" s="44"/>
      <c r="E112" s="45"/>
      <c r="F112" s="42">
        <v>18</v>
      </c>
      <c r="G112" s="56">
        <f t="shared" si="12"/>
        <v>0</v>
      </c>
      <c r="H112" s="56">
        <f t="shared" si="13"/>
        <v>0</v>
      </c>
      <c r="I112" s="56">
        <f t="shared" si="14"/>
        <v>0</v>
      </c>
      <c r="J112" s="57">
        <f t="shared" si="15"/>
        <v>0</v>
      </c>
    </row>
    <row r="113" spans="1:10" x14ac:dyDescent="0.25">
      <c r="A113" s="59"/>
      <c r="B113" s="46"/>
      <c r="C113" s="44"/>
      <c r="D113" s="44"/>
      <c r="E113" s="45"/>
      <c r="F113" s="42">
        <v>18</v>
      </c>
      <c r="G113" s="56">
        <f t="shared" si="12"/>
        <v>0</v>
      </c>
      <c r="H113" s="56">
        <f t="shared" si="13"/>
        <v>0</v>
      </c>
      <c r="I113" s="56">
        <f t="shared" si="14"/>
        <v>0</v>
      </c>
      <c r="J113" s="57">
        <f t="shared" si="15"/>
        <v>0</v>
      </c>
    </row>
    <row r="114" spans="1:10" x14ac:dyDescent="0.25">
      <c r="A114" s="59"/>
      <c r="B114" s="46"/>
      <c r="C114" s="44"/>
      <c r="D114" s="44"/>
      <c r="E114" s="45"/>
      <c r="F114" s="42">
        <v>18</v>
      </c>
      <c r="G114" s="56">
        <f t="shared" si="12"/>
        <v>0</v>
      </c>
      <c r="H114" s="56">
        <f t="shared" si="13"/>
        <v>0</v>
      </c>
      <c r="I114" s="56">
        <f t="shared" si="14"/>
        <v>0</v>
      </c>
      <c r="J114" s="57">
        <f t="shared" si="15"/>
        <v>0</v>
      </c>
    </row>
    <row r="115" spans="1:10" x14ac:dyDescent="0.25">
      <c r="A115" s="59"/>
      <c r="B115" s="46"/>
      <c r="C115" s="44"/>
      <c r="D115" s="44"/>
      <c r="E115" s="45"/>
      <c r="F115" s="42">
        <v>18</v>
      </c>
      <c r="G115" s="56">
        <f t="shared" si="12"/>
        <v>0</v>
      </c>
      <c r="H115" s="56">
        <f t="shared" si="13"/>
        <v>0</v>
      </c>
      <c r="I115" s="56">
        <f t="shared" si="14"/>
        <v>0</v>
      </c>
      <c r="J115" s="57">
        <f t="shared" si="15"/>
        <v>0</v>
      </c>
    </row>
    <row r="116" spans="1:10" x14ac:dyDescent="0.25">
      <c r="A116" s="59"/>
      <c r="B116" s="46"/>
      <c r="C116" s="44"/>
      <c r="D116" s="44"/>
      <c r="E116" s="45"/>
      <c r="F116" s="42">
        <v>18</v>
      </c>
      <c r="G116" s="56">
        <f t="shared" si="12"/>
        <v>0</v>
      </c>
      <c r="H116" s="56">
        <f t="shared" si="13"/>
        <v>0</v>
      </c>
      <c r="I116" s="56">
        <f t="shared" si="14"/>
        <v>0</v>
      </c>
      <c r="J116" s="57">
        <f t="shared" si="15"/>
        <v>0</v>
      </c>
    </row>
  </sheetData>
  <dataValidations count="4">
    <dataValidation type="custom" operator="lessThanOrEqual" allowBlank="1" showInputMessage="1" showErrorMessage="1" error="Please enter alphanumeric value of length less than or equal to 25.Do not enter any special character except . , - / and SPACE." sqref="D2:D116">
      <formula1>AD2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116">
      <formula1>AF2</formula1>
    </dataValidation>
    <dataValidation type="custom" allowBlank="1" showInputMessage="1" showErrorMessage="1" error="Please enter Numeric value having length less than or equal to 16 including decimal points. Do not enter Special characters." sqref="F2:F116">
      <formula1>AG2</formula1>
    </dataValidation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116">
      <formula1>500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4"/>
  <sheetViews>
    <sheetView workbookViewId="0">
      <selection activeCell="A34" sqref="A34:B34"/>
    </sheetView>
  </sheetViews>
  <sheetFormatPr defaultRowHeight="15" x14ac:dyDescent="0.25"/>
  <cols>
    <col min="1" max="1" width="17.5703125" customWidth="1"/>
    <col min="2" max="2" width="40.28515625" customWidth="1"/>
    <col min="3" max="3" width="8.42578125" customWidth="1"/>
    <col min="4" max="4" width="10.140625" customWidth="1"/>
    <col min="5" max="5" width="11.42578125" customWidth="1"/>
    <col min="7" max="7" width="10.28515625" customWidth="1"/>
    <col min="8" max="8" width="10.42578125" customWidth="1"/>
    <col min="9" max="9" width="11.42578125" customWidth="1"/>
    <col min="10" max="10" width="10.8554687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114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/>
      <c r="F3" s="42">
        <v>18</v>
      </c>
      <c r="G3" s="56">
        <f t="shared" ref="G3:G4" si="0">ROUND((E3*F3%)/2,)</f>
        <v>0</v>
      </c>
      <c r="H3" s="56">
        <f t="shared" ref="H3:H4" si="1">G3</f>
        <v>0</v>
      </c>
      <c r="I3" s="56">
        <f t="shared" ref="I3:I4" si="2">G3+H3</f>
        <v>0</v>
      </c>
      <c r="J3" s="57">
        <f t="shared" ref="J3:J4" si="3">E3+I3</f>
        <v>0</v>
      </c>
    </row>
    <row r="4" spans="1:10" ht="21" x14ac:dyDescent="0.25">
      <c r="A4" s="59" t="s">
        <v>306</v>
      </c>
      <c r="B4" s="46" t="s">
        <v>124</v>
      </c>
      <c r="C4" s="44" t="s">
        <v>457</v>
      </c>
      <c r="D4" s="44" t="s">
        <v>493</v>
      </c>
      <c r="E4" s="45">
        <v>2544</v>
      </c>
      <c r="F4" s="42">
        <v>18</v>
      </c>
      <c r="G4" s="56">
        <f t="shared" si="0"/>
        <v>229</v>
      </c>
      <c r="H4" s="56">
        <f t="shared" si="1"/>
        <v>229</v>
      </c>
      <c r="I4" s="56">
        <f t="shared" si="2"/>
        <v>458</v>
      </c>
      <c r="J4" s="57">
        <f t="shared" si="3"/>
        <v>3002</v>
      </c>
    </row>
    <row r="5" spans="1:10" ht="21" x14ac:dyDescent="0.25">
      <c r="A5" s="59" t="s">
        <v>306</v>
      </c>
      <c r="B5" s="46" t="s">
        <v>124</v>
      </c>
      <c r="C5" s="44" t="s">
        <v>458</v>
      </c>
      <c r="D5" s="44" t="s">
        <v>494</v>
      </c>
      <c r="E5" s="45">
        <v>959</v>
      </c>
      <c r="F5" s="42">
        <v>18</v>
      </c>
      <c r="G5" s="56">
        <f t="shared" ref="G5" si="4">ROUND((E5*F5%)/2,)</f>
        <v>86</v>
      </c>
      <c r="H5" s="56">
        <f t="shared" ref="H5" si="5">G5</f>
        <v>86</v>
      </c>
      <c r="I5" s="56">
        <f t="shared" ref="I5" si="6">G5+H5</f>
        <v>172</v>
      </c>
      <c r="J5" s="57">
        <f t="shared" ref="J5" si="7">E5+I5</f>
        <v>1131</v>
      </c>
    </row>
    <row r="6" spans="1:10" ht="21" x14ac:dyDescent="0.25">
      <c r="A6" s="59" t="s">
        <v>135</v>
      </c>
      <c r="B6" s="46" t="s">
        <v>136</v>
      </c>
      <c r="C6" s="44" t="s">
        <v>459</v>
      </c>
      <c r="D6" s="44" t="s">
        <v>495</v>
      </c>
      <c r="E6" s="45">
        <v>1968</v>
      </c>
      <c r="F6" s="42">
        <v>18</v>
      </c>
      <c r="G6" s="56">
        <f t="shared" ref="G6:G69" si="8">ROUND((E6*F6%)/2,)</f>
        <v>177</v>
      </c>
      <c r="H6" s="56">
        <f t="shared" ref="H6:H69" si="9">G6</f>
        <v>177</v>
      </c>
      <c r="I6" s="56">
        <f t="shared" ref="I6:I69" si="10">G6+H6</f>
        <v>354</v>
      </c>
      <c r="J6" s="57">
        <f t="shared" ref="J6:J69" si="11">E6+I6</f>
        <v>2322</v>
      </c>
    </row>
    <row r="7" spans="1:10" ht="21" x14ac:dyDescent="0.25">
      <c r="A7" s="59" t="s">
        <v>127</v>
      </c>
      <c r="B7" s="46" t="s">
        <v>128</v>
      </c>
      <c r="C7" s="44" t="s">
        <v>460</v>
      </c>
      <c r="D7" s="44" t="s">
        <v>496</v>
      </c>
      <c r="E7" s="45">
        <v>3200</v>
      </c>
      <c r="F7" s="42">
        <v>18</v>
      </c>
      <c r="G7" s="56">
        <f t="shared" si="8"/>
        <v>288</v>
      </c>
      <c r="H7" s="56">
        <f t="shared" si="9"/>
        <v>288</v>
      </c>
      <c r="I7" s="56">
        <f t="shared" si="10"/>
        <v>576</v>
      </c>
      <c r="J7" s="57">
        <f t="shared" si="11"/>
        <v>3776</v>
      </c>
    </row>
    <row r="8" spans="1:10" ht="21" x14ac:dyDescent="0.25">
      <c r="A8" s="59" t="s">
        <v>127</v>
      </c>
      <c r="B8" s="46" t="s">
        <v>128</v>
      </c>
      <c r="C8" s="44" t="s">
        <v>461</v>
      </c>
      <c r="D8" s="44" t="s">
        <v>494</v>
      </c>
      <c r="E8" s="45">
        <v>4200</v>
      </c>
      <c r="F8" s="42">
        <v>18</v>
      </c>
      <c r="G8" s="56">
        <f t="shared" si="8"/>
        <v>378</v>
      </c>
      <c r="H8" s="56">
        <f t="shared" si="9"/>
        <v>378</v>
      </c>
      <c r="I8" s="56">
        <f t="shared" si="10"/>
        <v>756</v>
      </c>
      <c r="J8" s="57">
        <f t="shared" si="11"/>
        <v>4956</v>
      </c>
    </row>
    <row r="9" spans="1:10" ht="21" x14ac:dyDescent="0.25">
      <c r="A9" s="59" t="s">
        <v>127</v>
      </c>
      <c r="B9" s="46" t="s">
        <v>128</v>
      </c>
      <c r="C9" s="44" t="s">
        <v>462</v>
      </c>
      <c r="D9" s="44" t="s">
        <v>494</v>
      </c>
      <c r="E9" s="45">
        <v>1160</v>
      </c>
      <c r="F9" s="42">
        <v>18</v>
      </c>
      <c r="G9" s="56">
        <f t="shared" si="8"/>
        <v>104</v>
      </c>
      <c r="H9" s="56">
        <f t="shared" si="9"/>
        <v>104</v>
      </c>
      <c r="I9" s="56">
        <f t="shared" si="10"/>
        <v>208</v>
      </c>
      <c r="J9" s="57">
        <f t="shared" si="11"/>
        <v>1368</v>
      </c>
    </row>
    <row r="10" spans="1:10" ht="21" x14ac:dyDescent="0.25">
      <c r="A10" s="59" t="s">
        <v>127</v>
      </c>
      <c r="B10" s="46" t="s">
        <v>128</v>
      </c>
      <c r="C10" s="44" t="s">
        <v>463</v>
      </c>
      <c r="D10" s="44" t="s">
        <v>497</v>
      </c>
      <c r="E10" s="45">
        <v>4260</v>
      </c>
      <c r="F10" s="42">
        <v>18</v>
      </c>
      <c r="G10" s="56">
        <f t="shared" si="8"/>
        <v>383</v>
      </c>
      <c r="H10" s="56">
        <f t="shared" si="9"/>
        <v>383</v>
      </c>
      <c r="I10" s="56">
        <f t="shared" si="10"/>
        <v>766</v>
      </c>
      <c r="J10" s="57">
        <f t="shared" si="11"/>
        <v>5026</v>
      </c>
    </row>
    <row r="11" spans="1:10" ht="21" x14ac:dyDescent="0.25">
      <c r="A11" s="59" t="s">
        <v>127</v>
      </c>
      <c r="B11" s="46" t="s">
        <v>128</v>
      </c>
      <c r="C11" s="44" t="s">
        <v>464</v>
      </c>
      <c r="D11" s="44" t="s">
        <v>495</v>
      </c>
      <c r="E11" s="45">
        <v>2000</v>
      </c>
      <c r="F11" s="42">
        <v>18</v>
      </c>
      <c r="G11" s="56">
        <f t="shared" si="8"/>
        <v>180</v>
      </c>
      <c r="H11" s="56">
        <f t="shared" si="9"/>
        <v>180</v>
      </c>
      <c r="I11" s="56">
        <f t="shared" si="10"/>
        <v>360</v>
      </c>
      <c r="J11" s="57">
        <f t="shared" si="11"/>
        <v>2360</v>
      </c>
    </row>
    <row r="12" spans="1:10" ht="21" x14ac:dyDescent="0.25">
      <c r="A12" s="59" t="s">
        <v>127</v>
      </c>
      <c r="B12" s="46" t="s">
        <v>128</v>
      </c>
      <c r="C12" s="44" t="s">
        <v>465</v>
      </c>
      <c r="D12" s="44" t="s">
        <v>498</v>
      </c>
      <c r="E12" s="45">
        <v>1100</v>
      </c>
      <c r="F12" s="42">
        <v>18</v>
      </c>
      <c r="G12" s="56">
        <f t="shared" si="8"/>
        <v>99</v>
      </c>
      <c r="H12" s="56">
        <f t="shared" si="9"/>
        <v>99</v>
      </c>
      <c r="I12" s="56">
        <f t="shared" si="10"/>
        <v>198</v>
      </c>
      <c r="J12" s="57">
        <f t="shared" si="11"/>
        <v>1298</v>
      </c>
    </row>
    <row r="13" spans="1:10" ht="21" x14ac:dyDescent="0.25">
      <c r="A13" s="59"/>
      <c r="B13" s="46" t="s">
        <v>499</v>
      </c>
      <c r="C13" s="44" t="s">
        <v>466</v>
      </c>
      <c r="D13" s="44" t="s">
        <v>495</v>
      </c>
      <c r="E13" s="45">
        <v>5310</v>
      </c>
      <c r="F13" s="42">
        <v>18</v>
      </c>
      <c r="G13" s="56">
        <f t="shared" si="8"/>
        <v>478</v>
      </c>
      <c r="H13" s="56">
        <f t="shared" si="9"/>
        <v>478</v>
      </c>
      <c r="I13" s="56">
        <f t="shared" si="10"/>
        <v>956</v>
      </c>
      <c r="J13" s="57">
        <f t="shared" si="11"/>
        <v>6266</v>
      </c>
    </row>
    <row r="14" spans="1:10" ht="21" x14ac:dyDescent="0.25">
      <c r="A14" s="59"/>
      <c r="B14" s="46" t="s">
        <v>499</v>
      </c>
      <c r="C14" s="44" t="s">
        <v>467</v>
      </c>
      <c r="D14" s="44" t="s">
        <v>495</v>
      </c>
      <c r="E14" s="45">
        <v>4910</v>
      </c>
      <c r="F14" s="42">
        <v>18</v>
      </c>
      <c r="G14" s="56">
        <f t="shared" si="8"/>
        <v>442</v>
      </c>
      <c r="H14" s="56">
        <f t="shared" si="9"/>
        <v>442</v>
      </c>
      <c r="I14" s="56">
        <f t="shared" si="10"/>
        <v>884</v>
      </c>
      <c r="J14" s="57">
        <f t="shared" si="11"/>
        <v>5794</v>
      </c>
    </row>
    <row r="15" spans="1:10" ht="21" x14ac:dyDescent="0.25">
      <c r="A15" s="59" t="s">
        <v>306</v>
      </c>
      <c r="B15" s="46" t="s">
        <v>124</v>
      </c>
      <c r="C15" s="44" t="s">
        <v>468</v>
      </c>
      <c r="D15" s="44" t="s">
        <v>498</v>
      </c>
      <c r="E15" s="45">
        <v>2400</v>
      </c>
      <c r="F15" s="42">
        <v>18</v>
      </c>
      <c r="G15" s="56">
        <f t="shared" si="8"/>
        <v>216</v>
      </c>
      <c r="H15" s="56">
        <f t="shared" si="9"/>
        <v>216</v>
      </c>
      <c r="I15" s="56">
        <f t="shared" si="10"/>
        <v>432</v>
      </c>
      <c r="J15" s="57">
        <f t="shared" si="11"/>
        <v>2832</v>
      </c>
    </row>
    <row r="16" spans="1:10" ht="21" x14ac:dyDescent="0.25">
      <c r="A16" s="59" t="s">
        <v>306</v>
      </c>
      <c r="B16" s="46" t="s">
        <v>124</v>
      </c>
      <c r="C16" s="44" t="s">
        <v>469</v>
      </c>
      <c r="D16" s="44" t="s">
        <v>500</v>
      </c>
      <c r="E16" s="45">
        <v>1200</v>
      </c>
      <c r="F16" s="42">
        <v>18</v>
      </c>
      <c r="G16" s="56">
        <f t="shared" si="8"/>
        <v>108</v>
      </c>
      <c r="H16" s="56">
        <f t="shared" si="9"/>
        <v>108</v>
      </c>
      <c r="I16" s="56">
        <f t="shared" si="10"/>
        <v>216</v>
      </c>
      <c r="J16" s="57">
        <f t="shared" si="11"/>
        <v>1416</v>
      </c>
    </row>
    <row r="17" spans="1:10" ht="21" x14ac:dyDescent="0.25">
      <c r="A17" s="59" t="s">
        <v>306</v>
      </c>
      <c r="B17" s="46" t="s">
        <v>124</v>
      </c>
      <c r="C17" s="44" t="s">
        <v>470</v>
      </c>
      <c r="D17" s="44" t="s">
        <v>501</v>
      </c>
      <c r="E17" s="45">
        <v>2400</v>
      </c>
      <c r="F17" s="42">
        <v>18</v>
      </c>
      <c r="G17" s="56">
        <f t="shared" si="8"/>
        <v>216</v>
      </c>
      <c r="H17" s="56">
        <f t="shared" si="9"/>
        <v>216</v>
      </c>
      <c r="I17" s="56">
        <f t="shared" si="10"/>
        <v>432</v>
      </c>
      <c r="J17" s="57">
        <f t="shared" si="11"/>
        <v>2832</v>
      </c>
    </row>
    <row r="18" spans="1:10" ht="21" x14ac:dyDescent="0.25">
      <c r="A18" s="59" t="s">
        <v>135</v>
      </c>
      <c r="B18" s="46" t="s">
        <v>136</v>
      </c>
      <c r="C18" s="44" t="s">
        <v>471</v>
      </c>
      <c r="D18" s="44" t="s">
        <v>501</v>
      </c>
      <c r="E18" s="45">
        <v>738</v>
      </c>
      <c r="F18" s="42">
        <v>18</v>
      </c>
      <c r="G18" s="56">
        <f t="shared" si="8"/>
        <v>66</v>
      </c>
      <c r="H18" s="56">
        <f t="shared" si="9"/>
        <v>66</v>
      </c>
      <c r="I18" s="56">
        <f t="shared" si="10"/>
        <v>132</v>
      </c>
      <c r="J18" s="57">
        <f t="shared" si="11"/>
        <v>870</v>
      </c>
    </row>
    <row r="19" spans="1:10" ht="21" x14ac:dyDescent="0.25">
      <c r="A19" s="59" t="s">
        <v>135</v>
      </c>
      <c r="B19" s="46" t="s">
        <v>136</v>
      </c>
      <c r="C19" s="44" t="s">
        <v>472</v>
      </c>
      <c r="D19" s="44" t="s">
        <v>501</v>
      </c>
      <c r="E19" s="45">
        <v>738</v>
      </c>
      <c r="F19" s="42">
        <v>18</v>
      </c>
      <c r="G19" s="56">
        <f t="shared" si="8"/>
        <v>66</v>
      </c>
      <c r="H19" s="56">
        <f t="shared" si="9"/>
        <v>66</v>
      </c>
      <c r="I19" s="56">
        <f t="shared" si="10"/>
        <v>132</v>
      </c>
      <c r="J19" s="57">
        <f t="shared" si="11"/>
        <v>870</v>
      </c>
    </row>
    <row r="20" spans="1:10" ht="21" x14ac:dyDescent="0.25">
      <c r="A20" s="59" t="s">
        <v>135</v>
      </c>
      <c r="B20" s="46" t="s">
        <v>136</v>
      </c>
      <c r="C20" s="44" t="s">
        <v>473</v>
      </c>
      <c r="D20" s="44" t="s">
        <v>502</v>
      </c>
      <c r="E20" s="45">
        <v>3600</v>
      </c>
      <c r="F20" s="42">
        <v>18</v>
      </c>
      <c r="G20" s="56">
        <f t="shared" si="8"/>
        <v>324</v>
      </c>
      <c r="H20" s="56">
        <f t="shared" si="9"/>
        <v>324</v>
      </c>
      <c r="I20" s="56">
        <f t="shared" si="10"/>
        <v>648</v>
      </c>
      <c r="J20" s="57">
        <f t="shared" si="11"/>
        <v>4248</v>
      </c>
    </row>
    <row r="21" spans="1:10" ht="21" x14ac:dyDescent="0.25">
      <c r="A21" s="59" t="s">
        <v>135</v>
      </c>
      <c r="B21" s="46" t="s">
        <v>136</v>
      </c>
      <c r="C21" s="44" t="s">
        <v>474</v>
      </c>
      <c r="D21" s="44" t="s">
        <v>503</v>
      </c>
      <c r="E21" s="45">
        <v>4200</v>
      </c>
      <c r="F21" s="42">
        <v>18</v>
      </c>
      <c r="G21" s="56">
        <f t="shared" si="8"/>
        <v>378</v>
      </c>
      <c r="H21" s="56">
        <f t="shared" si="9"/>
        <v>378</v>
      </c>
      <c r="I21" s="56">
        <f t="shared" si="10"/>
        <v>756</v>
      </c>
      <c r="J21" s="57">
        <f t="shared" si="11"/>
        <v>4956</v>
      </c>
    </row>
    <row r="22" spans="1:10" ht="21" x14ac:dyDescent="0.25">
      <c r="A22" s="59" t="s">
        <v>306</v>
      </c>
      <c r="B22" s="46" t="s">
        <v>124</v>
      </c>
      <c r="C22" s="44" t="s">
        <v>475</v>
      </c>
      <c r="D22" s="44" t="s">
        <v>504</v>
      </c>
      <c r="E22" s="45">
        <v>1200</v>
      </c>
      <c r="F22" s="42">
        <v>18</v>
      </c>
      <c r="G22" s="56">
        <f t="shared" si="8"/>
        <v>108</v>
      </c>
      <c r="H22" s="56">
        <f t="shared" si="9"/>
        <v>108</v>
      </c>
      <c r="I22" s="56">
        <f t="shared" si="10"/>
        <v>216</v>
      </c>
      <c r="J22" s="57">
        <f t="shared" si="11"/>
        <v>1416</v>
      </c>
    </row>
    <row r="23" spans="1:10" ht="21" x14ac:dyDescent="0.25">
      <c r="A23" s="59" t="s">
        <v>127</v>
      </c>
      <c r="B23" s="46" t="s">
        <v>128</v>
      </c>
      <c r="C23" s="44" t="s">
        <v>476</v>
      </c>
      <c r="D23" s="44" t="s">
        <v>504</v>
      </c>
      <c r="E23" s="45">
        <v>8600</v>
      </c>
      <c r="F23" s="42">
        <v>18</v>
      </c>
      <c r="G23" s="56">
        <f t="shared" si="8"/>
        <v>774</v>
      </c>
      <c r="H23" s="56">
        <f t="shared" si="9"/>
        <v>774</v>
      </c>
      <c r="I23" s="56">
        <f t="shared" si="10"/>
        <v>1548</v>
      </c>
      <c r="J23" s="57">
        <f t="shared" si="11"/>
        <v>10148</v>
      </c>
    </row>
    <row r="24" spans="1:10" ht="21" x14ac:dyDescent="0.25">
      <c r="A24" s="59" t="s">
        <v>127</v>
      </c>
      <c r="B24" s="46" t="s">
        <v>128</v>
      </c>
      <c r="C24" s="44" t="s">
        <v>477</v>
      </c>
      <c r="D24" s="44" t="s">
        <v>504</v>
      </c>
      <c r="E24" s="45">
        <v>2000</v>
      </c>
      <c r="F24" s="42">
        <v>18</v>
      </c>
      <c r="G24" s="56">
        <f t="shared" si="8"/>
        <v>180</v>
      </c>
      <c r="H24" s="56">
        <f t="shared" si="9"/>
        <v>180</v>
      </c>
      <c r="I24" s="56">
        <f t="shared" si="10"/>
        <v>360</v>
      </c>
      <c r="J24" s="57">
        <f t="shared" si="11"/>
        <v>2360</v>
      </c>
    </row>
    <row r="25" spans="1:10" ht="21" x14ac:dyDescent="0.25">
      <c r="A25" s="59" t="s">
        <v>306</v>
      </c>
      <c r="B25" s="46" t="s">
        <v>124</v>
      </c>
      <c r="C25" s="44" t="s">
        <v>478</v>
      </c>
      <c r="D25" s="44" t="s">
        <v>505</v>
      </c>
      <c r="E25" s="45">
        <v>1200</v>
      </c>
      <c r="F25" s="42">
        <v>18</v>
      </c>
      <c r="G25" s="56">
        <f t="shared" si="8"/>
        <v>108</v>
      </c>
      <c r="H25" s="56">
        <f t="shared" si="9"/>
        <v>108</v>
      </c>
      <c r="I25" s="56">
        <f t="shared" si="10"/>
        <v>216</v>
      </c>
      <c r="J25" s="57">
        <f t="shared" si="11"/>
        <v>1416</v>
      </c>
    </row>
    <row r="26" spans="1:10" ht="21" x14ac:dyDescent="0.25">
      <c r="A26" s="59" t="s">
        <v>135</v>
      </c>
      <c r="B26" s="46" t="s">
        <v>136</v>
      </c>
      <c r="C26" s="44" t="s">
        <v>479</v>
      </c>
      <c r="D26" s="44" t="s">
        <v>506</v>
      </c>
      <c r="E26" s="45">
        <v>8640</v>
      </c>
      <c r="F26" s="42">
        <v>18</v>
      </c>
      <c r="G26" s="56">
        <f t="shared" si="8"/>
        <v>778</v>
      </c>
      <c r="H26" s="56">
        <f t="shared" si="9"/>
        <v>778</v>
      </c>
      <c r="I26" s="56">
        <f t="shared" si="10"/>
        <v>1556</v>
      </c>
      <c r="J26" s="57">
        <f t="shared" si="11"/>
        <v>10196</v>
      </c>
    </row>
    <row r="27" spans="1:10" ht="21" x14ac:dyDescent="0.25">
      <c r="A27" s="59" t="s">
        <v>306</v>
      </c>
      <c r="B27" s="46" t="s">
        <v>124</v>
      </c>
      <c r="C27" s="44" t="s">
        <v>480</v>
      </c>
      <c r="D27" s="44" t="s">
        <v>506</v>
      </c>
      <c r="E27" s="45">
        <v>2400</v>
      </c>
      <c r="F27" s="42">
        <v>18</v>
      </c>
      <c r="G27" s="56">
        <f t="shared" si="8"/>
        <v>216</v>
      </c>
      <c r="H27" s="56">
        <f t="shared" si="9"/>
        <v>216</v>
      </c>
      <c r="I27" s="56">
        <f t="shared" si="10"/>
        <v>432</v>
      </c>
      <c r="J27" s="57">
        <f t="shared" si="11"/>
        <v>2832</v>
      </c>
    </row>
    <row r="28" spans="1:10" ht="21" x14ac:dyDescent="0.25">
      <c r="A28" s="59" t="s">
        <v>127</v>
      </c>
      <c r="B28" s="46" t="s">
        <v>128</v>
      </c>
      <c r="C28" s="44" t="s">
        <v>481</v>
      </c>
      <c r="D28" s="44" t="s">
        <v>507</v>
      </c>
      <c r="E28" s="45">
        <v>1420</v>
      </c>
      <c r="F28" s="42">
        <v>18</v>
      </c>
      <c r="G28" s="56">
        <f t="shared" si="8"/>
        <v>128</v>
      </c>
      <c r="H28" s="56">
        <f t="shared" si="9"/>
        <v>128</v>
      </c>
      <c r="I28" s="56">
        <f t="shared" si="10"/>
        <v>256</v>
      </c>
      <c r="J28" s="57">
        <f t="shared" si="11"/>
        <v>1676</v>
      </c>
    </row>
    <row r="29" spans="1:10" ht="21" x14ac:dyDescent="0.25">
      <c r="A29" s="59" t="s">
        <v>127</v>
      </c>
      <c r="B29" s="46" t="s">
        <v>128</v>
      </c>
      <c r="C29" s="44" t="s">
        <v>482</v>
      </c>
      <c r="D29" s="44" t="s">
        <v>507</v>
      </c>
      <c r="E29" s="45">
        <v>4180</v>
      </c>
      <c r="F29" s="42">
        <v>18</v>
      </c>
      <c r="G29" s="56">
        <f t="shared" si="8"/>
        <v>376</v>
      </c>
      <c r="H29" s="56">
        <f t="shared" si="9"/>
        <v>376</v>
      </c>
      <c r="I29" s="56">
        <f t="shared" si="10"/>
        <v>752</v>
      </c>
      <c r="J29" s="57">
        <f t="shared" si="11"/>
        <v>4932</v>
      </c>
    </row>
    <row r="30" spans="1:10" ht="21" x14ac:dyDescent="0.25">
      <c r="A30" s="59" t="s">
        <v>306</v>
      </c>
      <c r="B30" s="46" t="s">
        <v>124</v>
      </c>
      <c r="C30" s="44" t="s">
        <v>483</v>
      </c>
      <c r="D30" s="44" t="s">
        <v>507</v>
      </c>
      <c r="E30" s="45">
        <v>1200</v>
      </c>
      <c r="F30" s="42">
        <v>18</v>
      </c>
      <c r="G30" s="56">
        <f t="shared" si="8"/>
        <v>108</v>
      </c>
      <c r="H30" s="56">
        <f t="shared" si="9"/>
        <v>108</v>
      </c>
      <c r="I30" s="56">
        <f t="shared" si="10"/>
        <v>216</v>
      </c>
      <c r="J30" s="57">
        <f t="shared" si="11"/>
        <v>1416</v>
      </c>
    </row>
    <row r="31" spans="1:10" ht="21" x14ac:dyDescent="0.25">
      <c r="A31" s="59" t="s">
        <v>135</v>
      </c>
      <c r="B31" s="46" t="s">
        <v>136</v>
      </c>
      <c r="C31" s="44" t="s">
        <v>484</v>
      </c>
      <c r="D31" s="44" t="s">
        <v>508</v>
      </c>
      <c r="E31" s="45">
        <v>4320</v>
      </c>
      <c r="F31" s="42">
        <v>18</v>
      </c>
      <c r="G31" s="56">
        <f t="shared" si="8"/>
        <v>389</v>
      </c>
      <c r="H31" s="56">
        <f t="shared" si="9"/>
        <v>389</v>
      </c>
      <c r="I31" s="56">
        <f t="shared" si="10"/>
        <v>778</v>
      </c>
      <c r="J31" s="57">
        <f t="shared" si="11"/>
        <v>5098</v>
      </c>
    </row>
    <row r="32" spans="1:10" ht="21" x14ac:dyDescent="0.25">
      <c r="A32" s="59"/>
      <c r="B32" s="46" t="s">
        <v>499</v>
      </c>
      <c r="C32" s="44" t="s">
        <v>485</v>
      </c>
      <c r="D32" s="44" t="s">
        <v>509</v>
      </c>
      <c r="E32" s="45">
        <v>4155</v>
      </c>
      <c r="F32" s="42">
        <v>18</v>
      </c>
      <c r="G32" s="56">
        <f t="shared" si="8"/>
        <v>374</v>
      </c>
      <c r="H32" s="56">
        <f t="shared" si="9"/>
        <v>374</v>
      </c>
      <c r="I32" s="56">
        <f t="shared" si="10"/>
        <v>748</v>
      </c>
      <c r="J32" s="57">
        <f t="shared" si="11"/>
        <v>4903</v>
      </c>
    </row>
    <row r="33" spans="1:10" ht="21" x14ac:dyDescent="0.25">
      <c r="A33" s="59"/>
      <c r="B33" s="46" t="s">
        <v>499</v>
      </c>
      <c r="C33" s="44" t="s">
        <v>486</v>
      </c>
      <c r="D33" s="44" t="s">
        <v>510</v>
      </c>
      <c r="E33" s="45">
        <v>1400</v>
      </c>
      <c r="F33" s="42">
        <v>18</v>
      </c>
      <c r="G33" s="56">
        <f t="shared" si="8"/>
        <v>126</v>
      </c>
      <c r="H33" s="56">
        <f t="shared" si="9"/>
        <v>126</v>
      </c>
      <c r="I33" s="56">
        <f t="shared" si="10"/>
        <v>252</v>
      </c>
      <c r="J33" s="57">
        <f t="shared" si="11"/>
        <v>1652</v>
      </c>
    </row>
    <row r="34" spans="1:10" ht="21" x14ac:dyDescent="0.25">
      <c r="A34" s="59" t="s">
        <v>135</v>
      </c>
      <c r="B34" s="46" t="s">
        <v>136</v>
      </c>
      <c r="C34" s="44" t="s">
        <v>487</v>
      </c>
      <c r="D34" s="44" t="s">
        <v>511</v>
      </c>
      <c r="E34" s="45">
        <v>936</v>
      </c>
      <c r="F34" s="42">
        <v>18</v>
      </c>
      <c r="G34" s="56">
        <f t="shared" si="8"/>
        <v>84</v>
      </c>
      <c r="H34" s="56">
        <f t="shared" si="9"/>
        <v>84</v>
      </c>
      <c r="I34" s="56">
        <f t="shared" si="10"/>
        <v>168</v>
      </c>
      <c r="J34" s="57">
        <f t="shared" si="11"/>
        <v>1104</v>
      </c>
    </row>
    <row r="35" spans="1:10" ht="21" x14ac:dyDescent="0.25">
      <c r="A35" s="59" t="s">
        <v>135</v>
      </c>
      <c r="B35" s="46" t="s">
        <v>136</v>
      </c>
      <c r="C35" s="44" t="s">
        <v>488</v>
      </c>
      <c r="D35" s="44" t="s">
        <v>512</v>
      </c>
      <c r="E35" s="45">
        <v>624</v>
      </c>
      <c r="F35" s="42">
        <v>18</v>
      </c>
      <c r="G35" s="56">
        <f t="shared" si="8"/>
        <v>56</v>
      </c>
      <c r="H35" s="56">
        <f t="shared" si="9"/>
        <v>56</v>
      </c>
      <c r="I35" s="56">
        <f t="shared" si="10"/>
        <v>112</v>
      </c>
      <c r="J35" s="57">
        <f t="shared" si="11"/>
        <v>736</v>
      </c>
    </row>
    <row r="36" spans="1:10" ht="21" x14ac:dyDescent="0.25">
      <c r="A36" s="59" t="s">
        <v>306</v>
      </c>
      <c r="B36" s="46" t="s">
        <v>124</v>
      </c>
      <c r="C36" s="44" t="s">
        <v>489</v>
      </c>
      <c r="D36" s="44" t="s">
        <v>509</v>
      </c>
      <c r="E36" s="45">
        <v>1020</v>
      </c>
      <c r="F36" s="42">
        <v>18</v>
      </c>
      <c r="G36" s="56">
        <f t="shared" si="8"/>
        <v>92</v>
      </c>
      <c r="H36" s="56">
        <f t="shared" si="9"/>
        <v>92</v>
      </c>
      <c r="I36" s="56">
        <f t="shared" si="10"/>
        <v>184</v>
      </c>
      <c r="J36" s="57">
        <f t="shared" si="11"/>
        <v>1204</v>
      </c>
    </row>
    <row r="37" spans="1:10" ht="21" x14ac:dyDescent="0.25">
      <c r="A37" s="59" t="s">
        <v>135</v>
      </c>
      <c r="B37" s="46" t="s">
        <v>136</v>
      </c>
      <c r="C37" s="44" t="s">
        <v>490</v>
      </c>
      <c r="D37" s="44" t="s">
        <v>513</v>
      </c>
      <c r="E37" s="45">
        <v>1368</v>
      </c>
      <c r="F37" s="42">
        <v>18</v>
      </c>
      <c r="G37" s="56">
        <f t="shared" si="8"/>
        <v>123</v>
      </c>
      <c r="H37" s="56">
        <f t="shared" si="9"/>
        <v>123</v>
      </c>
      <c r="I37" s="56">
        <f t="shared" si="10"/>
        <v>246</v>
      </c>
      <c r="J37" s="57">
        <f t="shared" si="11"/>
        <v>1614</v>
      </c>
    </row>
    <row r="38" spans="1:10" ht="21" x14ac:dyDescent="0.25">
      <c r="A38" s="59" t="s">
        <v>135</v>
      </c>
      <c r="B38" s="46" t="s">
        <v>136</v>
      </c>
      <c r="C38" s="44" t="s">
        <v>491</v>
      </c>
      <c r="D38" s="44" t="s">
        <v>513</v>
      </c>
      <c r="E38" s="45">
        <v>912</v>
      </c>
      <c r="F38" s="42">
        <v>18</v>
      </c>
      <c r="G38" s="56">
        <f t="shared" si="8"/>
        <v>82</v>
      </c>
      <c r="H38" s="56">
        <f t="shared" si="9"/>
        <v>82</v>
      </c>
      <c r="I38" s="56">
        <f t="shared" si="10"/>
        <v>164</v>
      </c>
      <c r="J38" s="57">
        <f t="shared" si="11"/>
        <v>1076</v>
      </c>
    </row>
    <row r="39" spans="1:10" ht="21" x14ac:dyDescent="0.25">
      <c r="A39" s="59" t="s">
        <v>135</v>
      </c>
      <c r="B39" s="46" t="s">
        <v>136</v>
      </c>
      <c r="C39" s="44" t="s">
        <v>492</v>
      </c>
      <c r="D39" s="44" t="s">
        <v>513</v>
      </c>
      <c r="E39" s="45">
        <v>855</v>
      </c>
      <c r="F39" s="42">
        <v>18</v>
      </c>
      <c r="G39" s="56">
        <f t="shared" si="8"/>
        <v>77</v>
      </c>
      <c r="H39" s="56">
        <f t="shared" si="9"/>
        <v>77</v>
      </c>
      <c r="I39" s="56">
        <f t="shared" si="10"/>
        <v>154</v>
      </c>
      <c r="J39" s="57">
        <f t="shared" si="11"/>
        <v>1009</v>
      </c>
    </row>
    <row r="40" spans="1:10" x14ac:dyDescent="0.25">
      <c r="A40" s="59"/>
      <c r="B40" s="46"/>
      <c r="C40" s="44"/>
      <c r="D40" s="44"/>
      <c r="E40" s="45"/>
      <c r="F40" s="42">
        <v>18</v>
      </c>
      <c r="G40" s="56">
        <f t="shared" si="8"/>
        <v>0</v>
      </c>
      <c r="H40" s="56">
        <f t="shared" si="9"/>
        <v>0</v>
      </c>
      <c r="I40" s="56">
        <f t="shared" si="10"/>
        <v>0</v>
      </c>
      <c r="J40" s="57">
        <f t="shared" si="11"/>
        <v>0</v>
      </c>
    </row>
    <row r="41" spans="1:10" x14ac:dyDescent="0.25">
      <c r="A41" s="59"/>
      <c r="B41" s="46"/>
      <c r="C41" s="44"/>
      <c r="D41" s="44"/>
      <c r="E41" s="45"/>
      <c r="F41" s="42">
        <v>18</v>
      </c>
      <c r="G41" s="56">
        <f t="shared" si="8"/>
        <v>0</v>
      </c>
      <c r="H41" s="56">
        <f t="shared" si="9"/>
        <v>0</v>
      </c>
      <c r="I41" s="56">
        <f t="shared" si="10"/>
        <v>0</v>
      </c>
      <c r="J41" s="57">
        <f t="shared" si="11"/>
        <v>0</v>
      </c>
    </row>
    <row r="42" spans="1:10" x14ac:dyDescent="0.25">
      <c r="A42" s="59"/>
      <c r="B42" s="46"/>
      <c r="C42" s="44"/>
      <c r="D42" s="44"/>
      <c r="E42" s="45"/>
      <c r="F42" s="42">
        <v>18</v>
      </c>
      <c r="G42" s="56">
        <f t="shared" si="8"/>
        <v>0</v>
      </c>
      <c r="H42" s="56">
        <f t="shared" si="9"/>
        <v>0</v>
      </c>
      <c r="I42" s="56">
        <f t="shared" si="10"/>
        <v>0</v>
      </c>
      <c r="J42" s="57">
        <f t="shared" si="11"/>
        <v>0</v>
      </c>
    </row>
    <row r="43" spans="1:10" x14ac:dyDescent="0.25">
      <c r="A43" s="59"/>
      <c r="B43" s="46"/>
      <c r="C43" s="44"/>
      <c r="D43" s="44"/>
      <c r="E43" s="45"/>
      <c r="F43" s="42">
        <v>18</v>
      </c>
      <c r="G43" s="56">
        <f t="shared" si="8"/>
        <v>0</v>
      </c>
      <c r="H43" s="56">
        <f t="shared" si="9"/>
        <v>0</v>
      </c>
      <c r="I43" s="56">
        <f t="shared" si="10"/>
        <v>0</v>
      </c>
      <c r="J43" s="57">
        <f t="shared" si="11"/>
        <v>0</v>
      </c>
    </row>
    <row r="44" spans="1:10" x14ac:dyDescent="0.25">
      <c r="A44" s="59"/>
      <c r="B44" s="46"/>
      <c r="C44" s="44"/>
      <c r="D44" s="44"/>
      <c r="E44" s="45"/>
      <c r="F44" s="42">
        <v>18</v>
      </c>
      <c r="G44" s="56">
        <f t="shared" si="8"/>
        <v>0</v>
      </c>
      <c r="H44" s="56">
        <f t="shared" si="9"/>
        <v>0</v>
      </c>
      <c r="I44" s="56">
        <f t="shared" si="10"/>
        <v>0</v>
      </c>
      <c r="J44" s="57">
        <f t="shared" si="11"/>
        <v>0</v>
      </c>
    </row>
    <row r="45" spans="1:10" x14ac:dyDescent="0.25">
      <c r="A45" s="59"/>
      <c r="B45" s="46"/>
      <c r="C45" s="44"/>
      <c r="D45" s="44"/>
      <c r="E45" s="45"/>
      <c r="F45" s="42">
        <v>18</v>
      </c>
      <c r="G45" s="56">
        <f t="shared" si="8"/>
        <v>0</v>
      </c>
      <c r="H45" s="56">
        <f t="shared" si="9"/>
        <v>0</v>
      </c>
      <c r="I45" s="56">
        <f t="shared" si="10"/>
        <v>0</v>
      </c>
      <c r="J45" s="57">
        <f t="shared" si="11"/>
        <v>0</v>
      </c>
    </row>
    <row r="46" spans="1:10" x14ac:dyDescent="0.25">
      <c r="A46" s="59"/>
      <c r="B46" s="46"/>
      <c r="C46" s="44"/>
      <c r="D46" s="44"/>
      <c r="E46" s="45"/>
      <c r="F46" s="42">
        <v>18</v>
      </c>
      <c r="G46" s="56">
        <f t="shared" si="8"/>
        <v>0</v>
      </c>
      <c r="H46" s="56">
        <f t="shared" si="9"/>
        <v>0</v>
      </c>
      <c r="I46" s="56">
        <f t="shared" si="10"/>
        <v>0</v>
      </c>
      <c r="J46" s="57">
        <f t="shared" si="11"/>
        <v>0</v>
      </c>
    </row>
    <row r="47" spans="1:10" x14ac:dyDescent="0.25">
      <c r="A47" s="59"/>
      <c r="B47" s="46"/>
      <c r="C47" s="44"/>
      <c r="D47" s="44"/>
      <c r="E47" s="45"/>
      <c r="F47" s="42">
        <v>18</v>
      </c>
      <c r="G47" s="56">
        <f t="shared" si="8"/>
        <v>0</v>
      </c>
      <c r="H47" s="56">
        <f t="shared" si="9"/>
        <v>0</v>
      </c>
      <c r="I47" s="56">
        <f t="shared" si="10"/>
        <v>0</v>
      </c>
      <c r="J47" s="57">
        <f t="shared" si="11"/>
        <v>0</v>
      </c>
    </row>
    <row r="48" spans="1:10" x14ac:dyDescent="0.25">
      <c r="A48" s="59"/>
      <c r="B48" s="46"/>
      <c r="C48" s="44"/>
      <c r="D48" s="44"/>
      <c r="E48" s="45"/>
      <c r="F48" s="42">
        <v>18</v>
      </c>
      <c r="G48" s="56">
        <f t="shared" si="8"/>
        <v>0</v>
      </c>
      <c r="H48" s="56">
        <f t="shared" si="9"/>
        <v>0</v>
      </c>
      <c r="I48" s="56">
        <f t="shared" si="10"/>
        <v>0</v>
      </c>
      <c r="J48" s="57">
        <f t="shared" si="11"/>
        <v>0</v>
      </c>
    </row>
    <row r="49" spans="1:10" x14ac:dyDescent="0.25">
      <c r="A49" s="59"/>
      <c r="B49" s="46"/>
      <c r="C49" s="44"/>
      <c r="D49" s="44"/>
      <c r="E49" s="45"/>
      <c r="F49" s="42">
        <v>18</v>
      </c>
      <c r="G49" s="56">
        <f t="shared" si="8"/>
        <v>0</v>
      </c>
      <c r="H49" s="56">
        <f t="shared" si="9"/>
        <v>0</v>
      </c>
      <c r="I49" s="56">
        <f t="shared" si="10"/>
        <v>0</v>
      </c>
      <c r="J49" s="57">
        <f t="shared" si="11"/>
        <v>0</v>
      </c>
    </row>
    <row r="50" spans="1:10" x14ac:dyDescent="0.25">
      <c r="A50" s="59"/>
      <c r="B50" s="46"/>
      <c r="C50" s="44"/>
      <c r="D50" s="44"/>
      <c r="E50" s="45"/>
      <c r="F50" s="42">
        <v>18</v>
      </c>
      <c r="G50" s="56">
        <f t="shared" si="8"/>
        <v>0</v>
      </c>
      <c r="H50" s="56">
        <f t="shared" si="9"/>
        <v>0</v>
      </c>
      <c r="I50" s="56">
        <f t="shared" si="10"/>
        <v>0</v>
      </c>
      <c r="J50" s="57">
        <f t="shared" si="11"/>
        <v>0</v>
      </c>
    </row>
    <row r="51" spans="1:10" x14ac:dyDescent="0.25">
      <c r="A51" s="59"/>
      <c r="B51" s="46"/>
      <c r="C51" s="44"/>
      <c r="D51" s="44"/>
      <c r="E51" s="45"/>
      <c r="F51" s="42">
        <v>18</v>
      </c>
      <c r="G51" s="56">
        <f t="shared" si="8"/>
        <v>0</v>
      </c>
      <c r="H51" s="56">
        <f t="shared" si="9"/>
        <v>0</v>
      </c>
      <c r="I51" s="56">
        <f t="shared" si="10"/>
        <v>0</v>
      </c>
      <c r="J51" s="57">
        <f t="shared" si="11"/>
        <v>0</v>
      </c>
    </row>
    <row r="52" spans="1:10" x14ac:dyDescent="0.25">
      <c r="A52" s="59"/>
      <c r="B52" s="46"/>
      <c r="C52" s="44"/>
      <c r="D52" s="44"/>
      <c r="E52" s="45"/>
      <c r="F52" s="42">
        <v>18</v>
      </c>
      <c r="G52" s="56">
        <f t="shared" si="8"/>
        <v>0</v>
      </c>
      <c r="H52" s="56">
        <f t="shared" si="9"/>
        <v>0</v>
      </c>
      <c r="I52" s="56">
        <f t="shared" si="10"/>
        <v>0</v>
      </c>
      <c r="J52" s="57">
        <f t="shared" si="11"/>
        <v>0</v>
      </c>
    </row>
    <row r="53" spans="1:10" x14ac:dyDescent="0.25">
      <c r="A53" s="59"/>
      <c r="B53" s="46"/>
      <c r="C53" s="44"/>
      <c r="D53" s="44"/>
      <c r="E53" s="45"/>
      <c r="F53" s="42">
        <v>18</v>
      </c>
      <c r="G53" s="56">
        <f t="shared" si="8"/>
        <v>0</v>
      </c>
      <c r="H53" s="56">
        <f t="shared" si="9"/>
        <v>0</v>
      </c>
      <c r="I53" s="56">
        <f t="shared" si="10"/>
        <v>0</v>
      </c>
      <c r="J53" s="57">
        <f t="shared" si="11"/>
        <v>0</v>
      </c>
    </row>
    <row r="54" spans="1:10" x14ac:dyDescent="0.25">
      <c r="A54" s="59"/>
      <c r="B54" s="46"/>
      <c r="C54" s="44"/>
      <c r="D54" s="44"/>
      <c r="E54" s="45"/>
      <c r="F54" s="42">
        <v>18</v>
      </c>
      <c r="G54" s="56">
        <f t="shared" si="8"/>
        <v>0</v>
      </c>
      <c r="H54" s="56">
        <f t="shared" si="9"/>
        <v>0</v>
      </c>
      <c r="I54" s="56">
        <f t="shared" si="10"/>
        <v>0</v>
      </c>
      <c r="J54" s="57">
        <f t="shared" si="11"/>
        <v>0</v>
      </c>
    </row>
    <row r="55" spans="1:10" x14ac:dyDescent="0.25">
      <c r="A55" s="59"/>
      <c r="B55" s="46"/>
      <c r="C55" s="44"/>
      <c r="D55" s="44"/>
      <c r="E55" s="45"/>
      <c r="F55" s="42">
        <v>18</v>
      </c>
      <c r="G55" s="56">
        <f t="shared" si="8"/>
        <v>0</v>
      </c>
      <c r="H55" s="56">
        <f t="shared" si="9"/>
        <v>0</v>
      </c>
      <c r="I55" s="56">
        <f t="shared" si="10"/>
        <v>0</v>
      </c>
      <c r="J55" s="57">
        <f t="shared" si="11"/>
        <v>0</v>
      </c>
    </row>
    <row r="56" spans="1:10" x14ac:dyDescent="0.25">
      <c r="A56" s="59"/>
      <c r="B56" s="46"/>
      <c r="C56" s="44"/>
      <c r="D56" s="44"/>
      <c r="E56" s="45"/>
      <c r="F56" s="42">
        <v>18</v>
      </c>
      <c r="G56" s="56">
        <f t="shared" si="8"/>
        <v>0</v>
      </c>
      <c r="H56" s="56">
        <f t="shared" si="9"/>
        <v>0</v>
      </c>
      <c r="I56" s="56">
        <f t="shared" si="10"/>
        <v>0</v>
      </c>
      <c r="J56" s="57">
        <f t="shared" si="11"/>
        <v>0</v>
      </c>
    </row>
    <row r="57" spans="1:10" x14ac:dyDescent="0.25">
      <c r="A57" s="59"/>
      <c r="B57" s="46"/>
      <c r="C57" s="44"/>
      <c r="D57" s="44"/>
      <c r="E57" s="45"/>
      <c r="F57" s="42">
        <v>18</v>
      </c>
      <c r="G57" s="56">
        <f t="shared" si="8"/>
        <v>0</v>
      </c>
      <c r="H57" s="56">
        <f t="shared" si="9"/>
        <v>0</v>
      </c>
      <c r="I57" s="56">
        <f t="shared" si="10"/>
        <v>0</v>
      </c>
      <c r="J57" s="57">
        <f t="shared" si="11"/>
        <v>0</v>
      </c>
    </row>
    <row r="58" spans="1:10" x14ac:dyDescent="0.25">
      <c r="A58" s="59"/>
      <c r="B58" s="46"/>
      <c r="C58" s="44"/>
      <c r="D58" s="44"/>
      <c r="E58" s="45"/>
      <c r="F58" s="42">
        <v>18</v>
      </c>
      <c r="G58" s="56">
        <f t="shared" si="8"/>
        <v>0</v>
      </c>
      <c r="H58" s="56">
        <f t="shared" si="9"/>
        <v>0</v>
      </c>
      <c r="I58" s="56">
        <f t="shared" si="10"/>
        <v>0</v>
      </c>
      <c r="J58" s="57">
        <f t="shared" si="11"/>
        <v>0</v>
      </c>
    </row>
    <row r="59" spans="1:10" x14ac:dyDescent="0.25">
      <c r="A59" s="59"/>
      <c r="B59" s="46"/>
      <c r="C59" s="44"/>
      <c r="D59" s="44"/>
      <c r="E59" s="45"/>
      <c r="F59" s="42">
        <v>18</v>
      </c>
      <c r="G59" s="56">
        <f t="shared" si="8"/>
        <v>0</v>
      </c>
      <c r="H59" s="56">
        <f t="shared" si="9"/>
        <v>0</v>
      </c>
      <c r="I59" s="56">
        <f t="shared" si="10"/>
        <v>0</v>
      </c>
      <c r="J59" s="57">
        <f t="shared" si="11"/>
        <v>0</v>
      </c>
    </row>
    <row r="60" spans="1:10" x14ac:dyDescent="0.25">
      <c r="A60" s="59"/>
      <c r="B60" s="46"/>
      <c r="C60" s="44"/>
      <c r="D60" s="44"/>
      <c r="E60" s="45"/>
      <c r="F60" s="42">
        <v>18</v>
      </c>
      <c r="G60" s="56">
        <f t="shared" si="8"/>
        <v>0</v>
      </c>
      <c r="H60" s="56">
        <f t="shared" si="9"/>
        <v>0</v>
      </c>
      <c r="I60" s="56">
        <f t="shared" si="10"/>
        <v>0</v>
      </c>
      <c r="J60" s="57">
        <f t="shared" si="11"/>
        <v>0</v>
      </c>
    </row>
    <row r="61" spans="1:10" x14ac:dyDescent="0.25">
      <c r="A61" s="59"/>
      <c r="B61" s="46"/>
      <c r="C61" s="44"/>
      <c r="D61" s="44"/>
      <c r="E61" s="45"/>
      <c r="F61" s="42">
        <v>18</v>
      </c>
      <c r="G61" s="56">
        <f t="shared" si="8"/>
        <v>0</v>
      </c>
      <c r="H61" s="56">
        <f t="shared" si="9"/>
        <v>0</v>
      </c>
      <c r="I61" s="56">
        <f t="shared" si="10"/>
        <v>0</v>
      </c>
      <c r="J61" s="57">
        <f t="shared" si="11"/>
        <v>0</v>
      </c>
    </row>
    <row r="62" spans="1:10" x14ac:dyDescent="0.25">
      <c r="A62" s="59"/>
      <c r="B62" s="46"/>
      <c r="C62" s="44"/>
      <c r="D62" s="44"/>
      <c r="E62" s="45"/>
      <c r="F62" s="42">
        <v>18</v>
      </c>
      <c r="G62" s="56">
        <f t="shared" si="8"/>
        <v>0</v>
      </c>
      <c r="H62" s="56">
        <f t="shared" si="9"/>
        <v>0</v>
      </c>
      <c r="I62" s="56">
        <f t="shared" si="10"/>
        <v>0</v>
      </c>
      <c r="J62" s="57">
        <f t="shared" si="11"/>
        <v>0</v>
      </c>
    </row>
    <row r="63" spans="1:10" x14ac:dyDescent="0.25">
      <c r="A63" s="59"/>
      <c r="B63" s="46"/>
      <c r="C63" s="44"/>
      <c r="D63" s="44"/>
      <c r="E63" s="45"/>
      <c r="F63" s="42">
        <v>18</v>
      </c>
      <c r="G63" s="56">
        <f t="shared" si="8"/>
        <v>0</v>
      </c>
      <c r="H63" s="56">
        <f t="shared" si="9"/>
        <v>0</v>
      </c>
      <c r="I63" s="56">
        <f t="shared" si="10"/>
        <v>0</v>
      </c>
      <c r="J63" s="57">
        <f t="shared" si="11"/>
        <v>0</v>
      </c>
    </row>
    <row r="64" spans="1:10" x14ac:dyDescent="0.25">
      <c r="A64" s="59"/>
      <c r="B64" s="46"/>
      <c r="C64" s="44"/>
      <c r="D64" s="44"/>
      <c r="E64" s="45"/>
      <c r="F64" s="42">
        <v>18</v>
      </c>
      <c r="G64" s="56">
        <f t="shared" si="8"/>
        <v>0</v>
      </c>
      <c r="H64" s="56">
        <f t="shared" si="9"/>
        <v>0</v>
      </c>
      <c r="I64" s="56">
        <f t="shared" si="10"/>
        <v>0</v>
      </c>
      <c r="J64" s="57">
        <f t="shared" si="11"/>
        <v>0</v>
      </c>
    </row>
    <row r="65" spans="1:10" x14ac:dyDescent="0.25">
      <c r="A65" s="59"/>
      <c r="B65" s="46"/>
      <c r="C65" s="44"/>
      <c r="D65" s="44"/>
      <c r="E65" s="45"/>
      <c r="F65" s="42">
        <v>18</v>
      </c>
      <c r="G65" s="56">
        <f t="shared" si="8"/>
        <v>0</v>
      </c>
      <c r="H65" s="56">
        <f t="shared" si="9"/>
        <v>0</v>
      </c>
      <c r="I65" s="56">
        <f t="shared" si="10"/>
        <v>0</v>
      </c>
      <c r="J65" s="57">
        <f t="shared" si="11"/>
        <v>0</v>
      </c>
    </row>
    <row r="66" spans="1:10" x14ac:dyDescent="0.25">
      <c r="A66" s="59"/>
      <c r="B66" s="46"/>
      <c r="C66" s="44"/>
      <c r="D66" s="44"/>
      <c r="E66" s="45"/>
      <c r="F66" s="42">
        <v>18</v>
      </c>
      <c r="G66" s="56">
        <f t="shared" si="8"/>
        <v>0</v>
      </c>
      <c r="H66" s="56">
        <f t="shared" si="9"/>
        <v>0</v>
      </c>
      <c r="I66" s="56">
        <f t="shared" si="10"/>
        <v>0</v>
      </c>
      <c r="J66" s="57">
        <f t="shared" si="11"/>
        <v>0</v>
      </c>
    </row>
    <row r="67" spans="1:10" x14ac:dyDescent="0.25">
      <c r="A67" s="59"/>
      <c r="B67" s="46"/>
      <c r="C67" s="44"/>
      <c r="D67" s="44"/>
      <c r="E67" s="45"/>
      <c r="F67" s="42">
        <v>18</v>
      </c>
      <c r="G67" s="56">
        <f t="shared" si="8"/>
        <v>0</v>
      </c>
      <c r="H67" s="56">
        <f t="shared" si="9"/>
        <v>0</v>
      </c>
      <c r="I67" s="56">
        <f t="shared" si="10"/>
        <v>0</v>
      </c>
      <c r="J67" s="57">
        <f t="shared" si="11"/>
        <v>0</v>
      </c>
    </row>
    <row r="68" spans="1:10" x14ac:dyDescent="0.25">
      <c r="A68" s="59"/>
      <c r="B68" s="46"/>
      <c r="C68" s="44"/>
      <c r="D68" s="44"/>
      <c r="E68" s="45"/>
      <c r="F68" s="42">
        <v>18</v>
      </c>
      <c r="G68" s="56">
        <f t="shared" si="8"/>
        <v>0</v>
      </c>
      <c r="H68" s="56">
        <f t="shared" si="9"/>
        <v>0</v>
      </c>
      <c r="I68" s="56">
        <f t="shared" si="10"/>
        <v>0</v>
      </c>
      <c r="J68" s="57">
        <f t="shared" si="11"/>
        <v>0</v>
      </c>
    </row>
    <row r="69" spans="1:10" x14ac:dyDescent="0.25">
      <c r="A69" s="59"/>
      <c r="B69" s="46"/>
      <c r="C69" s="44"/>
      <c r="D69" s="44"/>
      <c r="E69" s="45"/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59"/>
      <c r="B70" s="46"/>
      <c r="C70" s="44"/>
      <c r="D70" s="44"/>
      <c r="E70" s="45"/>
      <c r="F70" s="42">
        <v>18</v>
      </c>
      <c r="G70" s="56">
        <f t="shared" ref="G70:G71" si="12">ROUND((E70*F70%)/2,)</f>
        <v>0</v>
      </c>
      <c r="H70" s="56">
        <f t="shared" ref="H70:H71" si="13">G70</f>
        <v>0</v>
      </c>
      <c r="I70" s="56">
        <f t="shared" ref="I70:I71" si="14">G70+H70</f>
        <v>0</v>
      </c>
      <c r="J70" s="57">
        <f t="shared" ref="J70:J71" si="15">E70+I70</f>
        <v>0</v>
      </c>
    </row>
    <row r="71" spans="1:10" x14ac:dyDescent="0.25">
      <c r="A71" s="59"/>
      <c r="B71" s="46"/>
      <c r="C71" s="44"/>
      <c r="D71" s="44"/>
      <c r="E71" s="45"/>
      <c r="F71" s="42">
        <v>18</v>
      </c>
      <c r="G71" s="56">
        <f t="shared" si="12"/>
        <v>0</v>
      </c>
      <c r="H71" s="56">
        <f t="shared" si="13"/>
        <v>0</v>
      </c>
      <c r="I71" s="56">
        <f t="shared" si="14"/>
        <v>0</v>
      </c>
      <c r="J71" s="57">
        <f t="shared" si="15"/>
        <v>0</v>
      </c>
    </row>
    <row r="72" spans="1:10" x14ac:dyDescent="0.25">
      <c r="A72" s="59"/>
      <c r="B72" s="46"/>
      <c r="C72" s="44"/>
      <c r="D72" s="44"/>
      <c r="E72" s="45"/>
      <c r="F72" s="42">
        <v>18</v>
      </c>
      <c r="G72" s="56">
        <f t="shared" ref="G72:G75" si="16">ROUND((E72*F72%)/2,)</f>
        <v>0</v>
      </c>
      <c r="H72" s="56">
        <f t="shared" ref="H72:H75" si="17">G72</f>
        <v>0</v>
      </c>
      <c r="I72" s="56">
        <f t="shared" ref="I72:I75" si="18">G72+H72</f>
        <v>0</v>
      </c>
      <c r="J72" s="57">
        <f t="shared" ref="J72:J75" si="19">E72+I72</f>
        <v>0</v>
      </c>
    </row>
    <row r="73" spans="1:10" x14ac:dyDescent="0.25">
      <c r="A73" s="59"/>
      <c r="B73" s="46"/>
      <c r="C73" s="44"/>
      <c r="D73" s="44"/>
      <c r="E73" s="45"/>
      <c r="F73" s="42">
        <v>18</v>
      </c>
      <c r="G73" s="56">
        <f t="shared" si="16"/>
        <v>0</v>
      </c>
      <c r="H73" s="56">
        <f t="shared" si="17"/>
        <v>0</v>
      </c>
      <c r="I73" s="56">
        <f t="shared" si="18"/>
        <v>0</v>
      </c>
      <c r="J73" s="57">
        <f t="shared" si="19"/>
        <v>0</v>
      </c>
    </row>
    <row r="74" spans="1:10" x14ac:dyDescent="0.25">
      <c r="A74" s="59"/>
      <c r="B74" s="46"/>
      <c r="C74" s="44"/>
      <c r="D74" s="44"/>
      <c r="E74" s="45"/>
      <c r="F74" s="42">
        <v>18</v>
      </c>
      <c r="G74" s="56">
        <f t="shared" si="16"/>
        <v>0</v>
      </c>
      <c r="H74" s="56">
        <f t="shared" si="17"/>
        <v>0</v>
      </c>
      <c r="I74" s="56">
        <f t="shared" si="18"/>
        <v>0</v>
      </c>
      <c r="J74" s="57">
        <f t="shared" si="19"/>
        <v>0</v>
      </c>
    </row>
    <row r="75" spans="1:10" x14ac:dyDescent="0.25">
      <c r="A75" s="59"/>
      <c r="B75" s="46"/>
      <c r="C75" s="44"/>
      <c r="D75" s="44"/>
      <c r="E75" s="45"/>
      <c r="F75" s="42">
        <v>18</v>
      </c>
      <c r="G75" s="56">
        <f t="shared" si="16"/>
        <v>0</v>
      </c>
      <c r="H75" s="56">
        <f t="shared" si="17"/>
        <v>0</v>
      </c>
      <c r="I75" s="56">
        <f t="shared" si="18"/>
        <v>0</v>
      </c>
      <c r="J75" s="57">
        <f t="shared" si="19"/>
        <v>0</v>
      </c>
    </row>
    <row r="76" spans="1:10" x14ac:dyDescent="0.25">
      <c r="A76" s="59"/>
      <c r="B76" s="46"/>
      <c r="C76" s="44"/>
      <c r="D76" s="44"/>
      <c r="E76" s="45"/>
      <c r="F76" s="42">
        <v>18</v>
      </c>
      <c r="G76" s="56">
        <f t="shared" ref="G76:G139" si="20">ROUND((E76*F76%)/2,)</f>
        <v>0</v>
      </c>
      <c r="H76" s="56">
        <f t="shared" ref="H76:H139" si="21">G76</f>
        <v>0</v>
      </c>
      <c r="I76" s="56">
        <f t="shared" ref="I76:I139" si="22">G76+H76</f>
        <v>0</v>
      </c>
      <c r="J76" s="57">
        <f t="shared" ref="J76:J139" si="23">E76+I76</f>
        <v>0</v>
      </c>
    </row>
    <row r="77" spans="1:10" x14ac:dyDescent="0.25">
      <c r="A77" s="59"/>
      <c r="B77" s="46"/>
      <c r="C77" s="44"/>
      <c r="D77" s="44"/>
      <c r="E77" s="45"/>
      <c r="F77" s="42">
        <v>18</v>
      </c>
      <c r="G77" s="56">
        <f t="shared" si="20"/>
        <v>0</v>
      </c>
      <c r="H77" s="56">
        <f t="shared" si="21"/>
        <v>0</v>
      </c>
      <c r="I77" s="56">
        <f t="shared" si="22"/>
        <v>0</v>
      </c>
      <c r="J77" s="57">
        <f t="shared" si="23"/>
        <v>0</v>
      </c>
    </row>
    <row r="78" spans="1:10" x14ac:dyDescent="0.25">
      <c r="A78" s="59"/>
      <c r="B78" s="46"/>
      <c r="C78" s="44"/>
      <c r="D78" s="44"/>
      <c r="E78" s="45"/>
      <c r="F78" s="42">
        <v>18</v>
      </c>
      <c r="G78" s="56">
        <f t="shared" si="20"/>
        <v>0</v>
      </c>
      <c r="H78" s="56">
        <f t="shared" si="21"/>
        <v>0</v>
      </c>
      <c r="I78" s="56">
        <f t="shared" si="22"/>
        <v>0</v>
      </c>
      <c r="J78" s="57">
        <f t="shared" si="23"/>
        <v>0</v>
      </c>
    </row>
    <row r="79" spans="1:10" x14ac:dyDescent="0.25">
      <c r="A79" s="59"/>
      <c r="B79" s="46"/>
      <c r="C79" s="44"/>
      <c r="D79" s="44"/>
      <c r="E79" s="45"/>
      <c r="F79" s="42">
        <v>18</v>
      </c>
      <c r="G79" s="56">
        <f t="shared" si="20"/>
        <v>0</v>
      </c>
      <c r="H79" s="56">
        <f t="shared" si="21"/>
        <v>0</v>
      </c>
      <c r="I79" s="56">
        <f t="shared" si="22"/>
        <v>0</v>
      </c>
      <c r="J79" s="57">
        <f t="shared" si="23"/>
        <v>0</v>
      </c>
    </row>
    <row r="80" spans="1:10" x14ac:dyDescent="0.25">
      <c r="A80" s="59"/>
      <c r="B80" s="46"/>
      <c r="C80" s="44"/>
      <c r="D80" s="44"/>
      <c r="E80" s="45"/>
      <c r="F80" s="42">
        <v>18</v>
      </c>
      <c r="G80" s="56">
        <f t="shared" si="20"/>
        <v>0</v>
      </c>
      <c r="H80" s="56">
        <f t="shared" si="21"/>
        <v>0</v>
      </c>
      <c r="I80" s="56">
        <f t="shared" si="22"/>
        <v>0</v>
      </c>
      <c r="J80" s="57">
        <f t="shared" si="23"/>
        <v>0</v>
      </c>
    </row>
    <row r="81" spans="1:10" x14ac:dyDescent="0.25">
      <c r="A81" s="59"/>
      <c r="B81" s="46"/>
      <c r="C81" s="44"/>
      <c r="D81" s="44"/>
      <c r="E81" s="45"/>
      <c r="F81" s="42">
        <v>18</v>
      </c>
      <c r="G81" s="56">
        <f t="shared" si="20"/>
        <v>0</v>
      </c>
      <c r="H81" s="56">
        <f t="shared" si="21"/>
        <v>0</v>
      </c>
      <c r="I81" s="56">
        <f t="shared" si="22"/>
        <v>0</v>
      </c>
      <c r="J81" s="57">
        <f t="shared" si="23"/>
        <v>0</v>
      </c>
    </row>
    <row r="82" spans="1:10" x14ac:dyDescent="0.25">
      <c r="A82" s="59"/>
      <c r="B82" s="46"/>
      <c r="C82" s="44"/>
      <c r="D82" s="44"/>
      <c r="E82" s="45"/>
      <c r="F82" s="42">
        <v>18</v>
      </c>
      <c r="G82" s="56">
        <f t="shared" si="20"/>
        <v>0</v>
      </c>
      <c r="H82" s="56">
        <f t="shared" si="21"/>
        <v>0</v>
      </c>
      <c r="I82" s="56">
        <f t="shared" si="22"/>
        <v>0</v>
      </c>
      <c r="J82" s="57">
        <f t="shared" si="23"/>
        <v>0</v>
      </c>
    </row>
    <row r="83" spans="1:10" x14ac:dyDescent="0.25">
      <c r="A83" s="59"/>
      <c r="B83" s="46"/>
      <c r="C83" s="44"/>
      <c r="D83" s="44"/>
      <c r="E83" s="45"/>
      <c r="F83" s="42">
        <v>18</v>
      </c>
      <c r="G83" s="56">
        <f t="shared" si="20"/>
        <v>0</v>
      </c>
      <c r="H83" s="56">
        <f t="shared" si="21"/>
        <v>0</v>
      </c>
      <c r="I83" s="56">
        <f t="shared" si="22"/>
        <v>0</v>
      </c>
      <c r="J83" s="57">
        <f t="shared" si="23"/>
        <v>0</v>
      </c>
    </row>
    <row r="84" spans="1:10" x14ac:dyDescent="0.25">
      <c r="A84" s="59"/>
      <c r="B84" s="46"/>
      <c r="C84" s="44"/>
      <c r="D84" s="44"/>
      <c r="E84" s="45"/>
      <c r="F84" s="42">
        <v>18</v>
      </c>
      <c r="G84" s="56">
        <f t="shared" si="20"/>
        <v>0</v>
      </c>
      <c r="H84" s="56">
        <f t="shared" si="21"/>
        <v>0</v>
      </c>
      <c r="I84" s="56">
        <f t="shared" si="22"/>
        <v>0</v>
      </c>
      <c r="J84" s="57">
        <f t="shared" si="23"/>
        <v>0</v>
      </c>
    </row>
    <row r="85" spans="1:10" x14ac:dyDescent="0.25">
      <c r="A85" s="59"/>
      <c r="B85" s="46"/>
      <c r="C85" s="44"/>
      <c r="D85" s="44"/>
      <c r="E85" s="45"/>
      <c r="F85" s="42">
        <v>18</v>
      </c>
      <c r="G85" s="56">
        <f t="shared" si="20"/>
        <v>0</v>
      </c>
      <c r="H85" s="56">
        <f t="shared" si="21"/>
        <v>0</v>
      </c>
      <c r="I85" s="56">
        <f t="shared" si="22"/>
        <v>0</v>
      </c>
      <c r="J85" s="57">
        <f t="shared" si="23"/>
        <v>0</v>
      </c>
    </row>
    <row r="86" spans="1:10" x14ac:dyDescent="0.25">
      <c r="A86" s="59"/>
      <c r="B86" s="46"/>
      <c r="C86" s="44"/>
      <c r="D86" s="44"/>
      <c r="E86" s="45"/>
      <c r="F86" s="42">
        <v>18</v>
      </c>
      <c r="G86" s="56">
        <f t="shared" si="20"/>
        <v>0</v>
      </c>
      <c r="H86" s="56">
        <f t="shared" si="21"/>
        <v>0</v>
      </c>
      <c r="I86" s="56">
        <f t="shared" si="22"/>
        <v>0</v>
      </c>
      <c r="J86" s="57">
        <f t="shared" si="23"/>
        <v>0</v>
      </c>
    </row>
    <row r="87" spans="1:10" x14ac:dyDescent="0.25">
      <c r="A87" s="59"/>
      <c r="B87" s="46"/>
      <c r="C87" s="44"/>
      <c r="D87" s="44"/>
      <c r="E87" s="45"/>
      <c r="F87" s="42">
        <v>18</v>
      </c>
      <c r="G87" s="56">
        <f t="shared" si="20"/>
        <v>0</v>
      </c>
      <c r="H87" s="56">
        <f t="shared" si="21"/>
        <v>0</v>
      </c>
      <c r="I87" s="56">
        <f t="shared" si="22"/>
        <v>0</v>
      </c>
      <c r="J87" s="57">
        <f t="shared" si="23"/>
        <v>0</v>
      </c>
    </row>
    <row r="88" spans="1:10" x14ac:dyDescent="0.25">
      <c r="A88" s="59"/>
      <c r="B88" s="46"/>
      <c r="C88" s="44"/>
      <c r="D88" s="44"/>
      <c r="E88" s="45"/>
      <c r="F88" s="42">
        <v>18</v>
      </c>
      <c r="G88" s="56">
        <f t="shared" si="20"/>
        <v>0</v>
      </c>
      <c r="H88" s="56">
        <f t="shared" si="21"/>
        <v>0</v>
      </c>
      <c r="I88" s="56">
        <f t="shared" si="22"/>
        <v>0</v>
      </c>
      <c r="J88" s="57">
        <f t="shared" si="23"/>
        <v>0</v>
      </c>
    </row>
    <row r="89" spans="1:10" x14ac:dyDescent="0.25">
      <c r="A89" s="59"/>
      <c r="B89" s="46"/>
      <c r="C89" s="44"/>
      <c r="D89" s="44"/>
      <c r="E89" s="45"/>
      <c r="F89" s="42">
        <v>18</v>
      </c>
      <c r="G89" s="56">
        <f t="shared" si="20"/>
        <v>0</v>
      </c>
      <c r="H89" s="56">
        <f t="shared" si="21"/>
        <v>0</v>
      </c>
      <c r="I89" s="56">
        <f t="shared" si="22"/>
        <v>0</v>
      </c>
      <c r="J89" s="57">
        <f t="shared" si="23"/>
        <v>0</v>
      </c>
    </row>
    <row r="90" spans="1:10" x14ac:dyDescent="0.25">
      <c r="A90" s="59"/>
      <c r="B90" s="46"/>
      <c r="C90" s="44"/>
      <c r="D90" s="44"/>
      <c r="E90" s="45"/>
      <c r="F90" s="42">
        <v>18</v>
      </c>
      <c r="G90" s="56">
        <f t="shared" si="20"/>
        <v>0</v>
      </c>
      <c r="H90" s="56">
        <f t="shared" si="21"/>
        <v>0</v>
      </c>
      <c r="I90" s="56">
        <f t="shared" si="22"/>
        <v>0</v>
      </c>
      <c r="J90" s="57">
        <f t="shared" si="23"/>
        <v>0</v>
      </c>
    </row>
    <row r="91" spans="1:10" x14ac:dyDescent="0.25">
      <c r="A91" s="59"/>
      <c r="B91" s="46"/>
      <c r="C91" s="44"/>
      <c r="D91" s="44"/>
      <c r="E91" s="45"/>
      <c r="F91" s="42">
        <v>18</v>
      </c>
      <c r="G91" s="56">
        <f t="shared" si="20"/>
        <v>0</v>
      </c>
      <c r="H91" s="56">
        <f t="shared" si="21"/>
        <v>0</v>
      </c>
      <c r="I91" s="56">
        <f t="shared" si="22"/>
        <v>0</v>
      </c>
      <c r="J91" s="57">
        <f t="shared" si="23"/>
        <v>0</v>
      </c>
    </row>
    <row r="92" spans="1:10" x14ac:dyDescent="0.25">
      <c r="A92" s="59"/>
      <c r="B92" s="46"/>
      <c r="C92" s="44"/>
      <c r="D92" s="44"/>
      <c r="E92" s="45"/>
      <c r="F92" s="42">
        <v>18</v>
      </c>
      <c r="G92" s="56">
        <f t="shared" si="20"/>
        <v>0</v>
      </c>
      <c r="H92" s="56">
        <f t="shared" si="21"/>
        <v>0</v>
      </c>
      <c r="I92" s="56">
        <f t="shared" si="22"/>
        <v>0</v>
      </c>
      <c r="J92" s="57">
        <f t="shared" si="23"/>
        <v>0</v>
      </c>
    </row>
    <row r="93" spans="1:10" x14ac:dyDescent="0.25">
      <c r="A93" s="59"/>
      <c r="B93" s="46"/>
      <c r="C93" s="44"/>
      <c r="D93" s="44"/>
      <c r="E93" s="45"/>
      <c r="F93" s="42">
        <v>18</v>
      </c>
      <c r="G93" s="56">
        <f t="shared" si="20"/>
        <v>0</v>
      </c>
      <c r="H93" s="56">
        <f t="shared" si="21"/>
        <v>0</v>
      </c>
      <c r="I93" s="56">
        <f t="shared" si="22"/>
        <v>0</v>
      </c>
      <c r="J93" s="57">
        <f t="shared" si="23"/>
        <v>0</v>
      </c>
    </row>
    <row r="94" spans="1:10" x14ac:dyDescent="0.25">
      <c r="A94" s="59"/>
      <c r="B94" s="46"/>
      <c r="C94" s="44"/>
      <c r="D94" s="44"/>
      <c r="E94" s="45"/>
      <c r="F94" s="42">
        <v>18</v>
      </c>
      <c r="G94" s="56">
        <f t="shared" si="20"/>
        <v>0</v>
      </c>
      <c r="H94" s="56">
        <f t="shared" si="21"/>
        <v>0</v>
      </c>
      <c r="I94" s="56">
        <f t="shared" si="22"/>
        <v>0</v>
      </c>
      <c r="J94" s="57">
        <f t="shared" si="23"/>
        <v>0</v>
      </c>
    </row>
    <row r="95" spans="1:10" x14ac:dyDescent="0.25">
      <c r="A95" s="59"/>
      <c r="B95" s="46"/>
      <c r="C95" s="44"/>
      <c r="D95" s="44"/>
      <c r="E95" s="45"/>
      <c r="F95" s="42">
        <v>18</v>
      </c>
      <c r="G95" s="56">
        <f t="shared" si="20"/>
        <v>0</v>
      </c>
      <c r="H95" s="56">
        <f t="shared" si="21"/>
        <v>0</v>
      </c>
      <c r="I95" s="56">
        <f t="shared" si="22"/>
        <v>0</v>
      </c>
      <c r="J95" s="57">
        <f t="shared" si="23"/>
        <v>0</v>
      </c>
    </row>
    <row r="96" spans="1:10" x14ac:dyDescent="0.25">
      <c r="A96" s="59"/>
      <c r="B96" s="46"/>
      <c r="C96" s="44"/>
      <c r="D96" s="44"/>
      <c r="E96" s="45"/>
      <c r="F96" s="42">
        <v>18</v>
      </c>
      <c r="G96" s="56">
        <f t="shared" si="20"/>
        <v>0</v>
      </c>
      <c r="H96" s="56">
        <f t="shared" si="21"/>
        <v>0</v>
      </c>
      <c r="I96" s="56">
        <f t="shared" si="22"/>
        <v>0</v>
      </c>
      <c r="J96" s="57">
        <f t="shared" si="23"/>
        <v>0</v>
      </c>
    </row>
    <row r="97" spans="1:10" x14ac:dyDescent="0.25">
      <c r="A97" s="59"/>
      <c r="B97" s="46"/>
      <c r="C97" s="44"/>
      <c r="D97" s="44"/>
      <c r="E97" s="45"/>
      <c r="F97" s="42">
        <v>18</v>
      </c>
      <c r="G97" s="56">
        <f t="shared" si="20"/>
        <v>0</v>
      </c>
      <c r="H97" s="56">
        <f t="shared" si="21"/>
        <v>0</v>
      </c>
      <c r="I97" s="56">
        <f t="shared" si="22"/>
        <v>0</v>
      </c>
      <c r="J97" s="57">
        <f t="shared" si="23"/>
        <v>0</v>
      </c>
    </row>
    <row r="98" spans="1:10" x14ac:dyDescent="0.25">
      <c r="A98" s="59"/>
      <c r="B98" s="46"/>
      <c r="C98" s="44"/>
      <c r="D98" s="44"/>
      <c r="E98" s="45"/>
      <c r="F98" s="42">
        <v>18</v>
      </c>
      <c r="G98" s="56">
        <f t="shared" si="20"/>
        <v>0</v>
      </c>
      <c r="H98" s="56">
        <f t="shared" si="21"/>
        <v>0</v>
      </c>
      <c r="I98" s="56">
        <f t="shared" si="22"/>
        <v>0</v>
      </c>
      <c r="J98" s="57">
        <f t="shared" si="23"/>
        <v>0</v>
      </c>
    </row>
    <row r="99" spans="1:10" x14ac:dyDescent="0.25">
      <c r="A99" s="59"/>
      <c r="B99" s="46"/>
      <c r="C99" s="44"/>
      <c r="D99" s="44"/>
      <c r="E99" s="45"/>
      <c r="F99" s="42">
        <v>18</v>
      </c>
      <c r="G99" s="56">
        <f t="shared" si="20"/>
        <v>0</v>
      </c>
      <c r="H99" s="56">
        <f t="shared" si="21"/>
        <v>0</v>
      </c>
      <c r="I99" s="56">
        <f t="shared" si="22"/>
        <v>0</v>
      </c>
      <c r="J99" s="57">
        <f t="shared" si="23"/>
        <v>0</v>
      </c>
    </row>
    <row r="100" spans="1:10" x14ac:dyDescent="0.25">
      <c r="A100" s="59"/>
      <c r="B100" s="46"/>
      <c r="C100" s="44"/>
      <c r="D100" s="44"/>
      <c r="E100" s="45"/>
      <c r="F100" s="42">
        <v>18</v>
      </c>
      <c r="G100" s="56">
        <f t="shared" si="20"/>
        <v>0</v>
      </c>
      <c r="H100" s="56">
        <f t="shared" si="21"/>
        <v>0</v>
      </c>
      <c r="I100" s="56">
        <f t="shared" si="22"/>
        <v>0</v>
      </c>
      <c r="J100" s="57">
        <f t="shared" si="23"/>
        <v>0</v>
      </c>
    </row>
    <row r="101" spans="1:10" x14ac:dyDescent="0.25">
      <c r="A101" s="59"/>
      <c r="B101" s="46"/>
      <c r="C101" s="44"/>
      <c r="D101" s="44"/>
      <c r="E101" s="45"/>
      <c r="F101" s="42">
        <v>18</v>
      </c>
      <c r="G101" s="56">
        <f t="shared" si="20"/>
        <v>0</v>
      </c>
      <c r="H101" s="56">
        <f t="shared" si="21"/>
        <v>0</v>
      </c>
      <c r="I101" s="56">
        <f t="shared" si="22"/>
        <v>0</v>
      </c>
      <c r="J101" s="57">
        <f t="shared" si="23"/>
        <v>0</v>
      </c>
    </row>
    <row r="102" spans="1:10" x14ac:dyDescent="0.25">
      <c r="A102" s="59"/>
      <c r="B102" s="46"/>
      <c r="C102" s="44"/>
      <c r="D102" s="44"/>
      <c r="E102" s="45"/>
      <c r="F102" s="42">
        <v>18</v>
      </c>
      <c r="G102" s="56">
        <f t="shared" si="20"/>
        <v>0</v>
      </c>
      <c r="H102" s="56">
        <f t="shared" si="21"/>
        <v>0</v>
      </c>
      <c r="I102" s="56">
        <f t="shared" si="22"/>
        <v>0</v>
      </c>
      <c r="J102" s="57">
        <f t="shared" si="23"/>
        <v>0</v>
      </c>
    </row>
    <row r="103" spans="1:10" x14ac:dyDescent="0.25">
      <c r="A103" s="59"/>
      <c r="B103" s="46"/>
      <c r="C103" s="44"/>
      <c r="D103" s="44"/>
      <c r="E103" s="45"/>
      <c r="F103" s="42">
        <v>18</v>
      </c>
      <c r="G103" s="56">
        <f t="shared" si="20"/>
        <v>0</v>
      </c>
      <c r="H103" s="56">
        <f t="shared" si="21"/>
        <v>0</v>
      </c>
      <c r="I103" s="56">
        <f t="shared" si="22"/>
        <v>0</v>
      </c>
      <c r="J103" s="57">
        <f t="shared" si="23"/>
        <v>0</v>
      </c>
    </row>
    <row r="104" spans="1:10" x14ac:dyDescent="0.25">
      <c r="A104" s="59"/>
      <c r="B104" s="46"/>
      <c r="C104" s="44"/>
      <c r="D104" s="44"/>
      <c r="E104" s="45"/>
      <c r="F104" s="42">
        <v>18</v>
      </c>
      <c r="G104" s="56">
        <f t="shared" si="20"/>
        <v>0</v>
      </c>
      <c r="H104" s="56">
        <f t="shared" si="21"/>
        <v>0</v>
      </c>
      <c r="I104" s="56">
        <f t="shared" si="22"/>
        <v>0</v>
      </c>
      <c r="J104" s="57">
        <f t="shared" si="23"/>
        <v>0</v>
      </c>
    </row>
    <row r="105" spans="1:10" x14ac:dyDescent="0.25">
      <c r="A105" s="59"/>
      <c r="B105" s="46"/>
      <c r="C105" s="44"/>
      <c r="D105" s="44"/>
      <c r="E105" s="45"/>
      <c r="F105" s="42">
        <v>18</v>
      </c>
      <c r="G105" s="56">
        <f t="shared" si="20"/>
        <v>0</v>
      </c>
      <c r="H105" s="56">
        <f t="shared" si="21"/>
        <v>0</v>
      </c>
      <c r="I105" s="56">
        <f t="shared" si="22"/>
        <v>0</v>
      </c>
      <c r="J105" s="57">
        <f t="shared" si="23"/>
        <v>0</v>
      </c>
    </row>
    <row r="106" spans="1:10" x14ac:dyDescent="0.25">
      <c r="A106" s="59"/>
      <c r="B106" s="46"/>
      <c r="C106" s="44"/>
      <c r="D106" s="44"/>
      <c r="E106" s="45"/>
      <c r="F106" s="42">
        <v>18</v>
      </c>
      <c r="G106" s="56">
        <f t="shared" si="20"/>
        <v>0</v>
      </c>
      <c r="H106" s="56">
        <f t="shared" si="21"/>
        <v>0</v>
      </c>
      <c r="I106" s="56">
        <f t="shared" si="22"/>
        <v>0</v>
      </c>
      <c r="J106" s="57">
        <f t="shared" si="23"/>
        <v>0</v>
      </c>
    </row>
    <row r="107" spans="1:10" x14ac:dyDescent="0.25">
      <c r="A107" s="59"/>
      <c r="B107" s="46"/>
      <c r="C107" s="44"/>
      <c r="D107" s="44"/>
      <c r="E107" s="45"/>
      <c r="F107" s="42">
        <v>18</v>
      </c>
      <c r="G107" s="56">
        <f t="shared" si="20"/>
        <v>0</v>
      </c>
      <c r="H107" s="56">
        <f t="shared" si="21"/>
        <v>0</v>
      </c>
      <c r="I107" s="56">
        <f t="shared" si="22"/>
        <v>0</v>
      </c>
      <c r="J107" s="57">
        <f t="shared" si="23"/>
        <v>0</v>
      </c>
    </row>
    <row r="108" spans="1:10" x14ac:dyDescent="0.25">
      <c r="A108" s="59"/>
      <c r="B108" s="46"/>
      <c r="C108" s="44"/>
      <c r="D108" s="44"/>
      <c r="E108" s="45"/>
      <c r="F108" s="42">
        <v>18</v>
      </c>
      <c r="G108" s="56">
        <f t="shared" si="20"/>
        <v>0</v>
      </c>
      <c r="H108" s="56">
        <f t="shared" si="21"/>
        <v>0</v>
      </c>
      <c r="I108" s="56">
        <f t="shared" si="22"/>
        <v>0</v>
      </c>
      <c r="J108" s="57">
        <f t="shared" si="23"/>
        <v>0</v>
      </c>
    </row>
    <row r="109" spans="1:10" x14ac:dyDescent="0.25">
      <c r="A109" s="59"/>
      <c r="B109" s="46"/>
      <c r="C109" s="44"/>
      <c r="D109" s="44"/>
      <c r="E109" s="45"/>
      <c r="F109" s="42">
        <v>18</v>
      </c>
      <c r="G109" s="56">
        <f t="shared" si="20"/>
        <v>0</v>
      </c>
      <c r="H109" s="56">
        <f t="shared" si="21"/>
        <v>0</v>
      </c>
      <c r="I109" s="56">
        <f t="shared" si="22"/>
        <v>0</v>
      </c>
      <c r="J109" s="57">
        <f t="shared" si="23"/>
        <v>0</v>
      </c>
    </row>
    <row r="110" spans="1:10" x14ac:dyDescent="0.25">
      <c r="A110" s="59"/>
      <c r="B110" s="46"/>
      <c r="C110" s="44"/>
      <c r="D110" s="44"/>
      <c r="E110" s="45"/>
      <c r="F110" s="42">
        <v>18</v>
      </c>
      <c r="G110" s="56">
        <f t="shared" si="20"/>
        <v>0</v>
      </c>
      <c r="H110" s="56">
        <f t="shared" si="21"/>
        <v>0</v>
      </c>
      <c r="I110" s="56">
        <f t="shared" si="22"/>
        <v>0</v>
      </c>
      <c r="J110" s="57">
        <f t="shared" si="23"/>
        <v>0</v>
      </c>
    </row>
    <row r="111" spans="1:10" x14ac:dyDescent="0.25">
      <c r="A111" s="59"/>
      <c r="B111" s="46"/>
      <c r="C111" s="44"/>
      <c r="D111" s="44"/>
      <c r="E111" s="45"/>
      <c r="F111" s="42">
        <v>18</v>
      </c>
      <c r="G111" s="56">
        <f t="shared" si="20"/>
        <v>0</v>
      </c>
      <c r="H111" s="56">
        <f t="shared" si="21"/>
        <v>0</v>
      </c>
      <c r="I111" s="56">
        <f t="shared" si="22"/>
        <v>0</v>
      </c>
      <c r="J111" s="57">
        <f t="shared" si="23"/>
        <v>0</v>
      </c>
    </row>
    <row r="112" spans="1:10" x14ac:dyDescent="0.25">
      <c r="A112" s="59"/>
      <c r="B112" s="46"/>
      <c r="C112" s="44"/>
      <c r="D112" s="44"/>
      <c r="E112" s="45"/>
      <c r="F112" s="42">
        <v>18</v>
      </c>
      <c r="G112" s="56">
        <f t="shared" si="20"/>
        <v>0</v>
      </c>
      <c r="H112" s="56">
        <f t="shared" si="21"/>
        <v>0</v>
      </c>
      <c r="I112" s="56">
        <f t="shared" si="22"/>
        <v>0</v>
      </c>
      <c r="J112" s="57">
        <f t="shared" si="23"/>
        <v>0</v>
      </c>
    </row>
    <row r="113" spans="1:10" x14ac:dyDescent="0.25">
      <c r="A113" s="59"/>
      <c r="B113" s="46"/>
      <c r="C113" s="44"/>
      <c r="D113" s="44"/>
      <c r="E113" s="45"/>
      <c r="F113" s="42">
        <v>18</v>
      </c>
      <c r="G113" s="56">
        <f t="shared" si="20"/>
        <v>0</v>
      </c>
      <c r="H113" s="56">
        <f t="shared" si="21"/>
        <v>0</v>
      </c>
      <c r="I113" s="56">
        <f t="shared" si="22"/>
        <v>0</v>
      </c>
      <c r="J113" s="57">
        <f t="shared" si="23"/>
        <v>0</v>
      </c>
    </row>
    <row r="114" spans="1:10" x14ac:dyDescent="0.25">
      <c r="A114" s="59"/>
      <c r="B114" s="46"/>
      <c r="C114" s="44"/>
      <c r="D114" s="44"/>
      <c r="E114" s="45"/>
      <c r="F114" s="42">
        <v>18</v>
      </c>
      <c r="G114" s="56">
        <f t="shared" si="20"/>
        <v>0</v>
      </c>
      <c r="H114" s="56">
        <f t="shared" si="21"/>
        <v>0</v>
      </c>
      <c r="I114" s="56">
        <f t="shared" si="22"/>
        <v>0</v>
      </c>
      <c r="J114" s="57">
        <f t="shared" si="23"/>
        <v>0</v>
      </c>
    </row>
    <row r="115" spans="1:10" x14ac:dyDescent="0.25">
      <c r="A115" s="59"/>
      <c r="B115" s="46"/>
      <c r="C115" s="44"/>
      <c r="D115" s="44"/>
      <c r="E115" s="45"/>
      <c r="F115" s="42">
        <v>18</v>
      </c>
      <c r="G115" s="56">
        <f t="shared" si="20"/>
        <v>0</v>
      </c>
      <c r="H115" s="56">
        <f t="shared" si="21"/>
        <v>0</v>
      </c>
      <c r="I115" s="56">
        <f t="shared" si="22"/>
        <v>0</v>
      </c>
      <c r="J115" s="57">
        <f t="shared" si="23"/>
        <v>0</v>
      </c>
    </row>
    <row r="116" spans="1:10" x14ac:dyDescent="0.25">
      <c r="A116" s="59"/>
      <c r="B116" s="46"/>
      <c r="C116" s="44"/>
      <c r="D116" s="44"/>
      <c r="E116" s="45"/>
      <c r="F116" s="42">
        <v>18</v>
      </c>
      <c r="G116" s="56">
        <f t="shared" si="20"/>
        <v>0</v>
      </c>
      <c r="H116" s="56">
        <f t="shared" si="21"/>
        <v>0</v>
      </c>
      <c r="I116" s="56">
        <f t="shared" si="22"/>
        <v>0</v>
      </c>
      <c r="J116" s="57">
        <f t="shared" si="23"/>
        <v>0</v>
      </c>
    </row>
    <row r="117" spans="1:10" x14ac:dyDescent="0.25">
      <c r="A117" s="59"/>
      <c r="B117" s="46"/>
      <c r="C117" s="44"/>
      <c r="D117" s="44"/>
      <c r="E117" s="45"/>
      <c r="F117" s="42">
        <v>18</v>
      </c>
      <c r="G117" s="56">
        <f t="shared" si="20"/>
        <v>0</v>
      </c>
      <c r="H117" s="56">
        <f t="shared" si="21"/>
        <v>0</v>
      </c>
      <c r="I117" s="56">
        <f t="shared" si="22"/>
        <v>0</v>
      </c>
      <c r="J117" s="57">
        <f t="shared" si="23"/>
        <v>0</v>
      </c>
    </row>
    <row r="118" spans="1:10" x14ac:dyDescent="0.25">
      <c r="A118" s="59"/>
      <c r="B118" s="46"/>
      <c r="C118" s="44"/>
      <c r="D118" s="44"/>
      <c r="E118" s="45"/>
      <c r="F118" s="42">
        <v>18</v>
      </c>
      <c r="G118" s="56">
        <f t="shared" si="20"/>
        <v>0</v>
      </c>
      <c r="H118" s="56">
        <f t="shared" si="21"/>
        <v>0</v>
      </c>
      <c r="I118" s="56">
        <f t="shared" si="22"/>
        <v>0</v>
      </c>
      <c r="J118" s="57">
        <f t="shared" si="23"/>
        <v>0</v>
      </c>
    </row>
    <row r="119" spans="1:10" x14ac:dyDescent="0.25">
      <c r="A119" s="59"/>
      <c r="B119" s="46"/>
      <c r="C119" s="44"/>
      <c r="D119" s="44"/>
      <c r="E119" s="45"/>
      <c r="F119" s="42">
        <v>18</v>
      </c>
      <c r="G119" s="56">
        <f t="shared" si="20"/>
        <v>0</v>
      </c>
      <c r="H119" s="56">
        <f t="shared" si="21"/>
        <v>0</v>
      </c>
      <c r="I119" s="56">
        <f t="shared" si="22"/>
        <v>0</v>
      </c>
      <c r="J119" s="57">
        <f t="shared" si="23"/>
        <v>0</v>
      </c>
    </row>
    <row r="120" spans="1:10" x14ac:dyDescent="0.25">
      <c r="A120" s="59"/>
      <c r="B120" s="46"/>
      <c r="C120" s="44"/>
      <c r="D120" s="44"/>
      <c r="E120" s="45"/>
      <c r="F120" s="42">
        <v>18</v>
      </c>
      <c r="G120" s="56">
        <f t="shared" si="20"/>
        <v>0</v>
      </c>
      <c r="H120" s="56">
        <f t="shared" si="21"/>
        <v>0</v>
      </c>
      <c r="I120" s="56">
        <f t="shared" si="22"/>
        <v>0</v>
      </c>
      <c r="J120" s="57">
        <f t="shared" si="23"/>
        <v>0</v>
      </c>
    </row>
    <row r="121" spans="1:10" x14ac:dyDescent="0.25">
      <c r="A121" s="59"/>
      <c r="B121" s="46"/>
      <c r="C121" s="44"/>
      <c r="D121" s="44"/>
      <c r="E121" s="45"/>
      <c r="F121" s="42">
        <v>18</v>
      </c>
      <c r="G121" s="56">
        <f t="shared" si="20"/>
        <v>0</v>
      </c>
      <c r="H121" s="56">
        <f t="shared" si="21"/>
        <v>0</v>
      </c>
      <c r="I121" s="56">
        <f t="shared" si="22"/>
        <v>0</v>
      </c>
      <c r="J121" s="57">
        <f t="shared" si="23"/>
        <v>0</v>
      </c>
    </row>
    <row r="122" spans="1:10" x14ac:dyDescent="0.25">
      <c r="A122" s="59"/>
      <c r="B122" s="46"/>
      <c r="C122" s="44"/>
      <c r="D122" s="44"/>
      <c r="E122" s="45"/>
      <c r="F122" s="42">
        <v>18</v>
      </c>
      <c r="G122" s="56">
        <f t="shared" si="20"/>
        <v>0</v>
      </c>
      <c r="H122" s="56">
        <f t="shared" si="21"/>
        <v>0</v>
      </c>
      <c r="I122" s="56">
        <f t="shared" si="22"/>
        <v>0</v>
      </c>
      <c r="J122" s="57">
        <f t="shared" si="23"/>
        <v>0</v>
      </c>
    </row>
    <row r="123" spans="1:10" x14ac:dyDescent="0.25">
      <c r="A123" s="59"/>
      <c r="B123" s="46"/>
      <c r="C123" s="44"/>
      <c r="D123" s="44"/>
      <c r="E123" s="45"/>
      <c r="F123" s="42">
        <v>18</v>
      </c>
      <c r="G123" s="56">
        <f t="shared" si="20"/>
        <v>0</v>
      </c>
      <c r="H123" s="56">
        <f t="shared" si="21"/>
        <v>0</v>
      </c>
      <c r="I123" s="56">
        <f t="shared" si="22"/>
        <v>0</v>
      </c>
      <c r="J123" s="57">
        <f t="shared" si="23"/>
        <v>0</v>
      </c>
    </row>
    <row r="124" spans="1:10" x14ac:dyDescent="0.25">
      <c r="A124" s="59"/>
      <c r="B124" s="46"/>
      <c r="C124" s="44"/>
      <c r="D124" s="44"/>
      <c r="E124" s="45"/>
      <c r="F124" s="42">
        <v>18</v>
      </c>
      <c r="G124" s="56">
        <f t="shared" si="20"/>
        <v>0</v>
      </c>
      <c r="H124" s="56">
        <f t="shared" si="21"/>
        <v>0</v>
      </c>
      <c r="I124" s="56">
        <f t="shared" si="22"/>
        <v>0</v>
      </c>
      <c r="J124" s="57">
        <f t="shared" si="23"/>
        <v>0</v>
      </c>
    </row>
    <row r="125" spans="1:10" x14ac:dyDescent="0.25">
      <c r="A125" s="59"/>
      <c r="B125" s="46"/>
      <c r="C125" s="44"/>
      <c r="D125" s="44"/>
      <c r="E125" s="45"/>
      <c r="F125" s="42">
        <v>18</v>
      </c>
      <c r="G125" s="56">
        <f t="shared" si="20"/>
        <v>0</v>
      </c>
      <c r="H125" s="56">
        <f t="shared" si="21"/>
        <v>0</v>
      </c>
      <c r="I125" s="56">
        <f t="shared" si="22"/>
        <v>0</v>
      </c>
      <c r="J125" s="57">
        <f t="shared" si="23"/>
        <v>0</v>
      </c>
    </row>
    <row r="126" spans="1:10" x14ac:dyDescent="0.25">
      <c r="A126" s="59"/>
      <c r="B126" s="46"/>
      <c r="C126" s="44"/>
      <c r="D126" s="44"/>
      <c r="E126" s="45"/>
      <c r="F126" s="42">
        <v>18</v>
      </c>
      <c r="G126" s="56">
        <f t="shared" si="20"/>
        <v>0</v>
      </c>
      <c r="H126" s="56">
        <f t="shared" si="21"/>
        <v>0</v>
      </c>
      <c r="I126" s="56">
        <f t="shared" si="22"/>
        <v>0</v>
      </c>
      <c r="J126" s="57">
        <f t="shared" si="23"/>
        <v>0</v>
      </c>
    </row>
    <row r="127" spans="1:10" x14ac:dyDescent="0.25">
      <c r="A127" s="59"/>
      <c r="B127" s="46"/>
      <c r="C127" s="44"/>
      <c r="D127" s="44"/>
      <c r="E127" s="45"/>
      <c r="F127" s="42">
        <v>18</v>
      </c>
      <c r="G127" s="56">
        <f t="shared" si="20"/>
        <v>0</v>
      </c>
      <c r="H127" s="56">
        <f t="shared" si="21"/>
        <v>0</v>
      </c>
      <c r="I127" s="56">
        <f t="shared" si="22"/>
        <v>0</v>
      </c>
      <c r="J127" s="57">
        <f t="shared" si="23"/>
        <v>0</v>
      </c>
    </row>
    <row r="128" spans="1:10" x14ac:dyDescent="0.25">
      <c r="A128" s="59"/>
      <c r="B128" s="46"/>
      <c r="C128" s="44"/>
      <c r="D128" s="44"/>
      <c r="E128" s="45"/>
      <c r="F128" s="42">
        <v>18</v>
      </c>
      <c r="G128" s="56">
        <f t="shared" si="20"/>
        <v>0</v>
      </c>
      <c r="H128" s="56">
        <f t="shared" si="21"/>
        <v>0</v>
      </c>
      <c r="I128" s="56">
        <f t="shared" si="22"/>
        <v>0</v>
      </c>
      <c r="J128" s="57">
        <f t="shared" si="23"/>
        <v>0</v>
      </c>
    </row>
    <row r="129" spans="1:10" x14ac:dyDescent="0.25">
      <c r="A129" s="59"/>
      <c r="B129" s="46"/>
      <c r="C129" s="44"/>
      <c r="D129" s="44"/>
      <c r="E129" s="45"/>
      <c r="F129" s="42">
        <v>18</v>
      </c>
      <c r="G129" s="56">
        <f t="shared" si="20"/>
        <v>0</v>
      </c>
      <c r="H129" s="56">
        <f t="shared" si="21"/>
        <v>0</v>
      </c>
      <c r="I129" s="56">
        <f t="shared" si="22"/>
        <v>0</v>
      </c>
      <c r="J129" s="57">
        <f t="shared" si="23"/>
        <v>0</v>
      </c>
    </row>
    <row r="130" spans="1:10" x14ac:dyDescent="0.25">
      <c r="A130" s="59"/>
      <c r="B130" s="46"/>
      <c r="C130" s="44"/>
      <c r="D130" s="44"/>
      <c r="E130" s="45"/>
      <c r="F130" s="42">
        <v>18</v>
      </c>
      <c r="G130" s="56">
        <f t="shared" si="20"/>
        <v>0</v>
      </c>
      <c r="H130" s="56">
        <f t="shared" si="21"/>
        <v>0</v>
      </c>
      <c r="I130" s="56">
        <f t="shared" si="22"/>
        <v>0</v>
      </c>
      <c r="J130" s="57">
        <f t="shared" si="23"/>
        <v>0</v>
      </c>
    </row>
    <row r="131" spans="1:10" x14ac:dyDescent="0.25">
      <c r="A131" s="59"/>
      <c r="B131" s="46"/>
      <c r="C131" s="44"/>
      <c r="D131" s="44"/>
      <c r="E131" s="45"/>
      <c r="F131" s="42">
        <v>18</v>
      </c>
      <c r="G131" s="56">
        <f t="shared" si="20"/>
        <v>0</v>
      </c>
      <c r="H131" s="56">
        <f t="shared" si="21"/>
        <v>0</v>
      </c>
      <c r="I131" s="56">
        <f t="shared" si="22"/>
        <v>0</v>
      </c>
      <c r="J131" s="57">
        <f t="shared" si="23"/>
        <v>0</v>
      </c>
    </row>
    <row r="132" spans="1:10" x14ac:dyDescent="0.25">
      <c r="A132" s="59"/>
      <c r="B132" s="46"/>
      <c r="C132" s="44"/>
      <c r="D132" s="44"/>
      <c r="E132" s="45"/>
      <c r="F132" s="42">
        <v>18</v>
      </c>
      <c r="G132" s="56">
        <f t="shared" si="20"/>
        <v>0</v>
      </c>
      <c r="H132" s="56">
        <f t="shared" si="21"/>
        <v>0</v>
      </c>
      <c r="I132" s="56">
        <f t="shared" si="22"/>
        <v>0</v>
      </c>
      <c r="J132" s="57">
        <f t="shared" si="23"/>
        <v>0</v>
      </c>
    </row>
    <row r="133" spans="1:10" x14ac:dyDescent="0.25">
      <c r="A133" s="59"/>
      <c r="B133" s="46"/>
      <c r="C133" s="44"/>
      <c r="D133" s="44"/>
      <c r="E133" s="45"/>
      <c r="F133" s="42">
        <v>18</v>
      </c>
      <c r="G133" s="56">
        <f t="shared" si="20"/>
        <v>0</v>
      </c>
      <c r="H133" s="56">
        <f t="shared" si="21"/>
        <v>0</v>
      </c>
      <c r="I133" s="56">
        <f t="shared" si="22"/>
        <v>0</v>
      </c>
      <c r="J133" s="57">
        <f t="shared" si="23"/>
        <v>0</v>
      </c>
    </row>
    <row r="134" spans="1:10" x14ac:dyDescent="0.25">
      <c r="A134" s="59"/>
      <c r="B134" s="46"/>
      <c r="C134" s="44"/>
      <c r="D134" s="44"/>
      <c r="E134" s="45"/>
      <c r="F134" s="42">
        <v>18</v>
      </c>
      <c r="G134" s="56">
        <f t="shared" si="20"/>
        <v>0</v>
      </c>
      <c r="H134" s="56">
        <f t="shared" si="21"/>
        <v>0</v>
      </c>
      <c r="I134" s="56">
        <f t="shared" si="22"/>
        <v>0</v>
      </c>
      <c r="J134" s="57">
        <f t="shared" si="23"/>
        <v>0</v>
      </c>
    </row>
    <row r="135" spans="1:10" x14ac:dyDescent="0.25">
      <c r="A135" s="59"/>
      <c r="B135" s="46"/>
      <c r="C135" s="44"/>
      <c r="D135" s="44"/>
      <c r="E135" s="45"/>
      <c r="F135" s="42">
        <v>18</v>
      </c>
      <c r="G135" s="56">
        <f t="shared" si="20"/>
        <v>0</v>
      </c>
      <c r="H135" s="56">
        <f t="shared" si="21"/>
        <v>0</v>
      </c>
      <c r="I135" s="56">
        <f t="shared" si="22"/>
        <v>0</v>
      </c>
      <c r="J135" s="57">
        <f t="shared" si="23"/>
        <v>0</v>
      </c>
    </row>
    <row r="136" spans="1:10" x14ac:dyDescent="0.25">
      <c r="A136" s="59"/>
      <c r="B136" s="46"/>
      <c r="C136" s="44"/>
      <c r="D136" s="44"/>
      <c r="E136" s="45"/>
      <c r="F136" s="42">
        <v>18</v>
      </c>
      <c r="G136" s="56">
        <f t="shared" si="20"/>
        <v>0</v>
      </c>
      <c r="H136" s="56">
        <f t="shared" si="21"/>
        <v>0</v>
      </c>
      <c r="I136" s="56">
        <f t="shared" si="22"/>
        <v>0</v>
      </c>
      <c r="J136" s="57">
        <f t="shared" si="23"/>
        <v>0</v>
      </c>
    </row>
    <row r="137" spans="1:10" x14ac:dyDescent="0.25">
      <c r="A137" s="59"/>
      <c r="B137" s="46"/>
      <c r="C137" s="44"/>
      <c r="D137" s="44"/>
      <c r="E137" s="45"/>
      <c r="F137" s="42">
        <v>18</v>
      </c>
      <c r="G137" s="56">
        <f t="shared" si="20"/>
        <v>0</v>
      </c>
      <c r="H137" s="56">
        <f t="shared" si="21"/>
        <v>0</v>
      </c>
      <c r="I137" s="56">
        <f t="shared" si="22"/>
        <v>0</v>
      </c>
      <c r="J137" s="57">
        <f t="shared" si="23"/>
        <v>0</v>
      </c>
    </row>
    <row r="138" spans="1:10" x14ac:dyDescent="0.25">
      <c r="A138" s="59"/>
      <c r="B138" s="46"/>
      <c r="C138" s="44"/>
      <c r="D138" s="44"/>
      <c r="E138" s="45"/>
      <c r="F138" s="42">
        <v>18</v>
      </c>
      <c r="G138" s="56">
        <f t="shared" si="20"/>
        <v>0</v>
      </c>
      <c r="H138" s="56">
        <f t="shared" si="21"/>
        <v>0</v>
      </c>
      <c r="I138" s="56">
        <f t="shared" si="22"/>
        <v>0</v>
      </c>
      <c r="J138" s="57">
        <f t="shared" si="23"/>
        <v>0</v>
      </c>
    </row>
    <row r="139" spans="1:10" x14ac:dyDescent="0.25">
      <c r="A139" s="59"/>
      <c r="B139" s="46"/>
      <c r="C139" s="44"/>
      <c r="D139" s="44"/>
      <c r="E139" s="45"/>
      <c r="F139" s="42">
        <v>18</v>
      </c>
      <c r="G139" s="56">
        <f t="shared" si="20"/>
        <v>0</v>
      </c>
      <c r="H139" s="56">
        <f t="shared" si="21"/>
        <v>0</v>
      </c>
      <c r="I139" s="56">
        <f t="shared" si="22"/>
        <v>0</v>
      </c>
      <c r="J139" s="57">
        <f t="shared" si="23"/>
        <v>0</v>
      </c>
    </row>
    <row r="140" spans="1:10" x14ac:dyDescent="0.25">
      <c r="A140" s="59"/>
      <c r="B140" s="46"/>
      <c r="C140" s="44"/>
      <c r="D140" s="44"/>
      <c r="E140" s="45"/>
      <c r="F140" s="42">
        <v>18</v>
      </c>
      <c r="G140" s="56">
        <f t="shared" ref="G140:G203" si="24">ROUND((E140*F140%)/2,)</f>
        <v>0</v>
      </c>
      <c r="H140" s="56">
        <f t="shared" ref="H140:H203" si="25">G140</f>
        <v>0</v>
      </c>
      <c r="I140" s="56">
        <f t="shared" ref="I140:I203" si="26">G140+H140</f>
        <v>0</v>
      </c>
      <c r="J140" s="57">
        <f t="shared" ref="J140:J203" si="27">E140+I140</f>
        <v>0</v>
      </c>
    </row>
    <row r="141" spans="1:10" x14ac:dyDescent="0.25">
      <c r="A141" s="59"/>
      <c r="B141" s="46"/>
      <c r="C141" s="44"/>
      <c r="D141" s="44"/>
      <c r="E141" s="45"/>
      <c r="F141" s="42">
        <v>18</v>
      </c>
      <c r="G141" s="56">
        <f t="shared" si="24"/>
        <v>0</v>
      </c>
      <c r="H141" s="56">
        <f t="shared" si="25"/>
        <v>0</v>
      </c>
      <c r="I141" s="56">
        <f t="shared" si="26"/>
        <v>0</v>
      </c>
      <c r="J141" s="57">
        <f t="shared" si="27"/>
        <v>0</v>
      </c>
    </row>
    <row r="142" spans="1:10" x14ac:dyDescent="0.25">
      <c r="A142" s="59"/>
      <c r="B142" s="46"/>
      <c r="C142" s="44"/>
      <c r="D142" s="44"/>
      <c r="E142" s="45"/>
      <c r="F142" s="42">
        <v>18</v>
      </c>
      <c r="G142" s="56">
        <f t="shared" si="24"/>
        <v>0</v>
      </c>
      <c r="H142" s="56">
        <f t="shared" si="25"/>
        <v>0</v>
      </c>
      <c r="I142" s="56">
        <f t="shared" si="26"/>
        <v>0</v>
      </c>
      <c r="J142" s="57">
        <f t="shared" si="27"/>
        <v>0</v>
      </c>
    </row>
    <row r="143" spans="1:10" x14ac:dyDescent="0.25">
      <c r="A143" s="59"/>
      <c r="B143" s="46"/>
      <c r="C143" s="44"/>
      <c r="D143" s="44"/>
      <c r="E143" s="45"/>
      <c r="F143" s="42">
        <v>18</v>
      </c>
      <c r="G143" s="56">
        <f t="shared" si="24"/>
        <v>0</v>
      </c>
      <c r="H143" s="56">
        <f t="shared" si="25"/>
        <v>0</v>
      </c>
      <c r="I143" s="56">
        <f t="shared" si="26"/>
        <v>0</v>
      </c>
      <c r="J143" s="57">
        <f t="shared" si="27"/>
        <v>0</v>
      </c>
    </row>
    <row r="144" spans="1:10" x14ac:dyDescent="0.25">
      <c r="A144" s="59"/>
      <c r="B144" s="46"/>
      <c r="C144" s="44"/>
      <c r="D144" s="44"/>
      <c r="E144" s="45"/>
      <c r="F144" s="42">
        <v>18</v>
      </c>
      <c r="G144" s="56">
        <f t="shared" si="24"/>
        <v>0</v>
      </c>
      <c r="H144" s="56">
        <f t="shared" si="25"/>
        <v>0</v>
      </c>
      <c r="I144" s="56">
        <f t="shared" si="26"/>
        <v>0</v>
      </c>
      <c r="J144" s="57">
        <f t="shared" si="27"/>
        <v>0</v>
      </c>
    </row>
    <row r="145" spans="1:10" x14ac:dyDescent="0.25">
      <c r="A145" s="59"/>
      <c r="B145" s="46"/>
      <c r="C145" s="44"/>
      <c r="D145" s="44"/>
      <c r="E145" s="45"/>
      <c r="F145" s="42">
        <v>18</v>
      </c>
      <c r="G145" s="56">
        <f t="shared" si="24"/>
        <v>0</v>
      </c>
      <c r="H145" s="56">
        <f t="shared" si="25"/>
        <v>0</v>
      </c>
      <c r="I145" s="56">
        <f t="shared" si="26"/>
        <v>0</v>
      </c>
      <c r="J145" s="57">
        <f t="shared" si="27"/>
        <v>0</v>
      </c>
    </row>
    <row r="146" spans="1:10" x14ac:dyDescent="0.25">
      <c r="A146" s="59"/>
      <c r="B146" s="46"/>
      <c r="C146" s="44"/>
      <c r="D146" s="44"/>
      <c r="E146" s="45"/>
      <c r="F146" s="42">
        <v>18</v>
      </c>
      <c r="G146" s="56">
        <f t="shared" si="24"/>
        <v>0</v>
      </c>
      <c r="H146" s="56">
        <f t="shared" si="25"/>
        <v>0</v>
      </c>
      <c r="I146" s="56">
        <f t="shared" si="26"/>
        <v>0</v>
      </c>
      <c r="J146" s="57">
        <f t="shared" si="27"/>
        <v>0</v>
      </c>
    </row>
    <row r="147" spans="1:10" x14ac:dyDescent="0.25">
      <c r="A147" s="59"/>
      <c r="B147" s="46"/>
      <c r="C147" s="44"/>
      <c r="D147" s="44"/>
      <c r="E147" s="45"/>
      <c r="F147" s="42">
        <v>18</v>
      </c>
      <c r="G147" s="56">
        <f t="shared" si="24"/>
        <v>0</v>
      </c>
      <c r="H147" s="56">
        <f t="shared" si="25"/>
        <v>0</v>
      </c>
      <c r="I147" s="56">
        <f t="shared" si="26"/>
        <v>0</v>
      </c>
      <c r="J147" s="57">
        <f t="shared" si="27"/>
        <v>0</v>
      </c>
    </row>
    <row r="148" spans="1:10" x14ac:dyDescent="0.25">
      <c r="A148" s="59"/>
      <c r="B148" s="46"/>
      <c r="C148" s="44"/>
      <c r="D148" s="44"/>
      <c r="E148" s="45"/>
      <c r="F148" s="42">
        <v>18</v>
      </c>
      <c r="G148" s="56">
        <f t="shared" si="24"/>
        <v>0</v>
      </c>
      <c r="H148" s="56">
        <f t="shared" si="25"/>
        <v>0</v>
      </c>
      <c r="I148" s="56">
        <f t="shared" si="26"/>
        <v>0</v>
      </c>
      <c r="J148" s="57">
        <f t="shared" si="27"/>
        <v>0</v>
      </c>
    </row>
    <row r="149" spans="1:10" x14ac:dyDescent="0.25">
      <c r="A149" s="59"/>
      <c r="B149" s="46"/>
      <c r="C149" s="44"/>
      <c r="D149" s="44"/>
      <c r="E149" s="45"/>
      <c r="F149" s="42">
        <v>18</v>
      </c>
      <c r="G149" s="56">
        <f t="shared" si="24"/>
        <v>0</v>
      </c>
      <c r="H149" s="56">
        <f t="shared" si="25"/>
        <v>0</v>
      </c>
      <c r="I149" s="56">
        <f t="shared" si="26"/>
        <v>0</v>
      </c>
      <c r="J149" s="57">
        <f t="shared" si="27"/>
        <v>0</v>
      </c>
    </row>
    <row r="150" spans="1:10" x14ac:dyDescent="0.25">
      <c r="A150" s="59"/>
      <c r="B150" s="46"/>
      <c r="C150" s="44"/>
      <c r="D150" s="44"/>
      <c r="E150" s="45"/>
      <c r="F150" s="42">
        <v>18</v>
      </c>
      <c r="G150" s="56">
        <f t="shared" si="24"/>
        <v>0</v>
      </c>
      <c r="H150" s="56">
        <f t="shared" si="25"/>
        <v>0</v>
      </c>
      <c r="I150" s="56">
        <f t="shared" si="26"/>
        <v>0</v>
      </c>
      <c r="J150" s="57">
        <f t="shared" si="27"/>
        <v>0</v>
      </c>
    </row>
    <row r="151" spans="1:10" x14ac:dyDescent="0.25">
      <c r="A151" s="59"/>
      <c r="B151" s="46"/>
      <c r="C151" s="44"/>
      <c r="D151" s="44"/>
      <c r="E151" s="45"/>
      <c r="F151" s="42">
        <v>18</v>
      </c>
      <c r="G151" s="56">
        <f t="shared" si="24"/>
        <v>0</v>
      </c>
      <c r="H151" s="56">
        <f t="shared" si="25"/>
        <v>0</v>
      </c>
      <c r="I151" s="56">
        <f t="shared" si="26"/>
        <v>0</v>
      </c>
      <c r="J151" s="57">
        <f t="shared" si="27"/>
        <v>0</v>
      </c>
    </row>
    <row r="152" spans="1:10" x14ac:dyDescent="0.25">
      <c r="A152" s="59"/>
      <c r="B152" s="46"/>
      <c r="C152" s="44"/>
      <c r="D152" s="44"/>
      <c r="E152" s="45"/>
      <c r="F152" s="42">
        <v>18</v>
      </c>
      <c r="G152" s="56">
        <f t="shared" si="24"/>
        <v>0</v>
      </c>
      <c r="H152" s="56">
        <f t="shared" si="25"/>
        <v>0</v>
      </c>
      <c r="I152" s="56">
        <f t="shared" si="26"/>
        <v>0</v>
      </c>
      <c r="J152" s="57">
        <f t="shared" si="27"/>
        <v>0</v>
      </c>
    </row>
    <row r="153" spans="1:10" x14ac:dyDescent="0.25">
      <c r="A153" s="59"/>
      <c r="B153" s="46"/>
      <c r="C153" s="44"/>
      <c r="D153" s="44"/>
      <c r="E153" s="45"/>
      <c r="F153" s="42">
        <v>18</v>
      </c>
      <c r="G153" s="56">
        <f t="shared" si="24"/>
        <v>0</v>
      </c>
      <c r="H153" s="56">
        <f t="shared" si="25"/>
        <v>0</v>
      </c>
      <c r="I153" s="56">
        <f t="shared" si="26"/>
        <v>0</v>
      </c>
      <c r="J153" s="57">
        <f t="shared" si="27"/>
        <v>0</v>
      </c>
    </row>
    <row r="154" spans="1:10" x14ac:dyDescent="0.25">
      <c r="A154" s="59"/>
      <c r="B154" s="46"/>
      <c r="C154" s="44"/>
      <c r="D154" s="44"/>
      <c r="E154" s="45"/>
      <c r="F154" s="42">
        <v>18</v>
      </c>
      <c r="G154" s="56">
        <f t="shared" si="24"/>
        <v>0</v>
      </c>
      <c r="H154" s="56">
        <f t="shared" si="25"/>
        <v>0</v>
      </c>
      <c r="I154" s="56">
        <f t="shared" si="26"/>
        <v>0</v>
      </c>
      <c r="J154" s="57">
        <f t="shared" si="27"/>
        <v>0</v>
      </c>
    </row>
    <row r="155" spans="1:10" x14ac:dyDescent="0.25">
      <c r="A155" s="59"/>
      <c r="B155" s="46"/>
      <c r="C155" s="44"/>
      <c r="D155" s="44"/>
      <c r="E155" s="45"/>
      <c r="F155" s="42">
        <v>18</v>
      </c>
      <c r="G155" s="56">
        <f t="shared" si="24"/>
        <v>0</v>
      </c>
      <c r="H155" s="56">
        <f t="shared" si="25"/>
        <v>0</v>
      </c>
      <c r="I155" s="56">
        <f t="shared" si="26"/>
        <v>0</v>
      </c>
      <c r="J155" s="57">
        <f t="shared" si="27"/>
        <v>0</v>
      </c>
    </row>
    <row r="156" spans="1:10" x14ac:dyDescent="0.25">
      <c r="A156" s="59"/>
      <c r="B156" s="46"/>
      <c r="C156" s="44"/>
      <c r="D156" s="44"/>
      <c r="E156" s="45"/>
      <c r="F156" s="42">
        <v>18</v>
      </c>
      <c r="G156" s="56">
        <f t="shared" si="24"/>
        <v>0</v>
      </c>
      <c r="H156" s="56">
        <f t="shared" si="25"/>
        <v>0</v>
      </c>
      <c r="I156" s="56">
        <f t="shared" si="26"/>
        <v>0</v>
      </c>
      <c r="J156" s="57">
        <f t="shared" si="27"/>
        <v>0</v>
      </c>
    </row>
    <row r="157" spans="1:10" x14ac:dyDescent="0.25">
      <c r="A157" s="59"/>
      <c r="B157" s="46"/>
      <c r="C157" s="44"/>
      <c r="D157" s="44"/>
      <c r="E157" s="45"/>
      <c r="F157" s="42">
        <v>18</v>
      </c>
      <c r="G157" s="56">
        <f t="shared" si="24"/>
        <v>0</v>
      </c>
      <c r="H157" s="56">
        <f t="shared" si="25"/>
        <v>0</v>
      </c>
      <c r="I157" s="56">
        <f t="shared" si="26"/>
        <v>0</v>
      </c>
      <c r="J157" s="57">
        <f t="shared" si="27"/>
        <v>0</v>
      </c>
    </row>
    <row r="158" spans="1:10" x14ac:dyDescent="0.25">
      <c r="A158" s="59"/>
      <c r="B158" s="46"/>
      <c r="C158" s="44"/>
      <c r="D158" s="44"/>
      <c r="E158" s="45"/>
      <c r="F158" s="42">
        <v>18</v>
      </c>
      <c r="G158" s="56">
        <f t="shared" si="24"/>
        <v>0</v>
      </c>
      <c r="H158" s="56">
        <f t="shared" si="25"/>
        <v>0</v>
      </c>
      <c r="I158" s="56">
        <f t="shared" si="26"/>
        <v>0</v>
      </c>
      <c r="J158" s="57">
        <f t="shared" si="27"/>
        <v>0</v>
      </c>
    </row>
    <row r="159" spans="1:10" x14ac:dyDescent="0.25">
      <c r="A159" s="59"/>
      <c r="B159" s="46"/>
      <c r="C159" s="44"/>
      <c r="D159" s="44"/>
      <c r="E159" s="45"/>
      <c r="F159" s="42">
        <v>18</v>
      </c>
      <c r="G159" s="56">
        <f t="shared" si="24"/>
        <v>0</v>
      </c>
      <c r="H159" s="56">
        <f t="shared" si="25"/>
        <v>0</v>
      </c>
      <c r="I159" s="56">
        <f t="shared" si="26"/>
        <v>0</v>
      </c>
      <c r="J159" s="57">
        <f t="shared" si="27"/>
        <v>0</v>
      </c>
    </row>
    <row r="160" spans="1:10" x14ac:dyDescent="0.25">
      <c r="A160" s="59"/>
      <c r="B160" s="46"/>
      <c r="C160" s="44"/>
      <c r="D160" s="44"/>
      <c r="E160" s="45"/>
      <c r="F160" s="42">
        <v>18</v>
      </c>
      <c r="G160" s="56">
        <f t="shared" si="24"/>
        <v>0</v>
      </c>
      <c r="H160" s="56">
        <f t="shared" si="25"/>
        <v>0</v>
      </c>
      <c r="I160" s="56">
        <f t="shared" si="26"/>
        <v>0</v>
      </c>
      <c r="J160" s="57">
        <f t="shared" si="27"/>
        <v>0</v>
      </c>
    </row>
    <row r="161" spans="1:10" x14ac:dyDescent="0.25">
      <c r="A161" s="59"/>
      <c r="B161" s="46"/>
      <c r="C161" s="44"/>
      <c r="D161" s="44"/>
      <c r="E161" s="45"/>
      <c r="F161" s="42">
        <v>18</v>
      </c>
      <c r="G161" s="56">
        <f t="shared" si="24"/>
        <v>0</v>
      </c>
      <c r="H161" s="56">
        <f t="shared" si="25"/>
        <v>0</v>
      </c>
      <c r="I161" s="56">
        <f t="shared" si="26"/>
        <v>0</v>
      </c>
      <c r="J161" s="57">
        <f t="shared" si="27"/>
        <v>0</v>
      </c>
    </row>
    <row r="162" spans="1:10" x14ac:dyDescent="0.25">
      <c r="A162" s="59"/>
      <c r="B162" s="46"/>
      <c r="C162" s="44"/>
      <c r="D162" s="44"/>
      <c r="E162" s="45"/>
      <c r="F162" s="42">
        <v>18</v>
      </c>
      <c r="G162" s="56">
        <f t="shared" si="24"/>
        <v>0</v>
      </c>
      <c r="H162" s="56">
        <f t="shared" si="25"/>
        <v>0</v>
      </c>
      <c r="I162" s="56">
        <f t="shared" si="26"/>
        <v>0</v>
      </c>
      <c r="J162" s="57">
        <f t="shared" si="27"/>
        <v>0</v>
      </c>
    </row>
    <row r="163" spans="1:10" x14ac:dyDescent="0.25">
      <c r="A163" s="59"/>
      <c r="B163" s="46"/>
      <c r="C163" s="44"/>
      <c r="D163" s="44"/>
      <c r="E163" s="45"/>
      <c r="F163" s="42">
        <v>18</v>
      </c>
      <c r="G163" s="56">
        <f t="shared" si="24"/>
        <v>0</v>
      </c>
      <c r="H163" s="56">
        <f t="shared" si="25"/>
        <v>0</v>
      </c>
      <c r="I163" s="56">
        <f t="shared" si="26"/>
        <v>0</v>
      </c>
      <c r="J163" s="57">
        <f t="shared" si="27"/>
        <v>0</v>
      </c>
    </row>
    <row r="164" spans="1:10" x14ac:dyDescent="0.25">
      <c r="A164" s="59"/>
      <c r="B164" s="46"/>
      <c r="C164" s="44"/>
      <c r="D164" s="44"/>
      <c r="E164" s="45"/>
      <c r="F164" s="42">
        <v>18</v>
      </c>
      <c r="G164" s="56">
        <f t="shared" si="24"/>
        <v>0</v>
      </c>
      <c r="H164" s="56">
        <f t="shared" si="25"/>
        <v>0</v>
      </c>
      <c r="I164" s="56">
        <f t="shared" si="26"/>
        <v>0</v>
      </c>
      <c r="J164" s="57">
        <f t="shared" si="27"/>
        <v>0</v>
      </c>
    </row>
    <row r="165" spans="1:10" x14ac:dyDescent="0.25">
      <c r="A165" s="59"/>
      <c r="B165" s="46"/>
      <c r="C165" s="44"/>
      <c r="D165" s="44"/>
      <c r="E165" s="45"/>
      <c r="F165" s="42">
        <v>18</v>
      </c>
      <c r="G165" s="56">
        <f t="shared" si="24"/>
        <v>0</v>
      </c>
      <c r="H165" s="56">
        <f t="shared" si="25"/>
        <v>0</v>
      </c>
      <c r="I165" s="56">
        <f t="shared" si="26"/>
        <v>0</v>
      </c>
      <c r="J165" s="57">
        <f t="shared" si="27"/>
        <v>0</v>
      </c>
    </row>
    <row r="166" spans="1:10" x14ac:dyDescent="0.25">
      <c r="A166" s="59"/>
      <c r="B166" s="46"/>
      <c r="C166" s="44"/>
      <c r="D166" s="44"/>
      <c r="E166" s="45"/>
      <c r="F166" s="42">
        <v>18</v>
      </c>
      <c r="G166" s="56">
        <f t="shared" si="24"/>
        <v>0</v>
      </c>
      <c r="H166" s="56">
        <f t="shared" si="25"/>
        <v>0</v>
      </c>
      <c r="I166" s="56">
        <f t="shared" si="26"/>
        <v>0</v>
      </c>
      <c r="J166" s="57">
        <f t="shared" si="27"/>
        <v>0</v>
      </c>
    </row>
    <row r="167" spans="1:10" x14ac:dyDescent="0.25">
      <c r="A167" s="59"/>
      <c r="B167" s="46"/>
      <c r="C167" s="44"/>
      <c r="D167" s="44"/>
      <c r="E167" s="45"/>
      <c r="F167" s="42">
        <v>18</v>
      </c>
      <c r="G167" s="56">
        <f t="shared" si="24"/>
        <v>0</v>
      </c>
      <c r="H167" s="56">
        <f t="shared" si="25"/>
        <v>0</v>
      </c>
      <c r="I167" s="56">
        <f t="shared" si="26"/>
        <v>0</v>
      </c>
      <c r="J167" s="57">
        <f t="shared" si="27"/>
        <v>0</v>
      </c>
    </row>
    <row r="168" spans="1:10" x14ac:dyDescent="0.25">
      <c r="A168" s="59"/>
      <c r="B168" s="46"/>
      <c r="C168" s="44"/>
      <c r="D168" s="44"/>
      <c r="E168" s="45"/>
      <c r="F168" s="42">
        <v>18</v>
      </c>
      <c r="G168" s="56">
        <f t="shared" si="24"/>
        <v>0</v>
      </c>
      <c r="H168" s="56">
        <f t="shared" si="25"/>
        <v>0</v>
      </c>
      <c r="I168" s="56">
        <f t="shared" si="26"/>
        <v>0</v>
      </c>
      <c r="J168" s="57">
        <f t="shared" si="27"/>
        <v>0</v>
      </c>
    </row>
    <row r="169" spans="1:10" x14ac:dyDescent="0.25">
      <c r="A169" s="59"/>
      <c r="B169" s="46"/>
      <c r="C169" s="44"/>
      <c r="D169" s="44"/>
      <c r="E169" s="45"/>
      <c r="F169" s="42">
        <v>18</v>
      </c>
      <c r="G169" s="56">
        <f t="shared" si="24"/>
        <v>0</v>
      </c>
      <c r="H169" s="56">
        <f t="shared" si="25"/>
        <v>0</v>
      </c>
      <c r="I169" s="56">
        <f t="shared" si="26"/>
        <v>0</v>
      </c>
      <c r="J169" s="57">
        <f t="shared" si="27"/>
        <v>0</v>
      </c>
    </row>
    <row r="170" spans="1:10" x14ac:dyDescent="0.25">
      <c r="A170" s="59"/>
      <c r="B170" s="46"/>
      <c r="C170" s="44"/>
      <c r="D170" s="44"/>
      <c r="E170" s="45"/>
      <c r="F170" s="42">
        <v>18</v>
      </c>
      <c r="G170" s="56">
        <f t="shared" si="24"/>
        <v>0</v>
      </c>
      <c r="H170" s="56">
        <f t="shared" si="25"/>
        <v>0</v>
      </c>
      <c r="I170" s="56">
        <f t="shared" si="26"/>
        <v>0</v>
      </c>
      <c r="J170" s="57">
        <f t="shared" si="27"/>
        <v>0</v>
      </c>
    </row>
    <row r="171" spans="1:10" x14ac:dyDescent="0.25">
      <c r="A171" s="59"/>
      <c r="B171" s="46"/>
      <c r="C171" s="44"/>
      <c r="D171" s="44"/>
      <c r="E171" s="45"/>
      <c r="F171" s="42">
        <v>18</v>
      </c>
      <c r="G171" s="56">
        <f t="shared" si="24"/>
        <v>0</v>
      </c>
      <c r="H171" s="56">
        <f t="shared" si="25"/>
        <v>0</v>
      </c>
      <c r="I171" s="56">
        <f t="shared" si="26"/>
        <v>0</v>
      </c>
      <c r="J171" s="57">
        <f t="shared" si="27"/>
        <v>0</v>
      </c>
    </row>
    <row r="172" spans="1:10" x14ac:dyDescent="0.25">
      <c r="A172" s="59"/>
      <c r="B172" s="46"/>
      <c r="C172" s="44"/>
      <c r="D172" s="44"/>
      <c r="E172" s="45"/>
      <c r="F172" s="42">
        <v>18</v>
      </c>
      <c r="G172" s="56">
        <f t="shared" si="24"/>
        <v>0</v>
      </c>
      <c r="H172" s="56">
        <f t="shared" si="25"/>
        <v>0</v>
      </c>
      <c r="I172" s="56">
        <f t="shared" si="26"/>
        <v>0</v>
      </c>
      <c r="J172" s="57">
        <f t="shared" si="27"/>
        <v>0</v>
      </c>
    </row>
    <row r="173" spans="1:10" x14ac:dyDescent="0.25">
      <c r="A173" s="59"/>
      <c r="B173" s="46"/>
      <c r="C173" s="44"/>
      <c r="D173" s="44"/>
      <c r="E173" s="45"/>
      <c r="F173" s="42">
        <v>18</v>
      </c>
      <c r="G173" s="56">
        <f t="shared" si="24"/>
        <v>0</v>
      </c>
      <c r="H173" s="56">
        <f t="shared" si="25"/>
        <v>0</v>
      </c>
      <c r="I173" s="56">
        <f t="shared" si="26"/>
        <v>0</v>
      </c>
      <c r="J173" s="57">
        <f t="shared" si="27"/>
        <v>0</v>
      </c>
    </row>
    <row r="174" spans="1:10" x14ac:dyDescent="0.25">
      <c r="A174" s="59"/>
      <c r="B174" s="46"/>
      <c r="C174" s="44"/>
      <c r="D174" s="44"/>
      <c r="E174" s="45"/>
      <c r="F174" s="42">
        <v>18</v>
      </c>
      <c r="G174" s="56">
        <f t="shared" si="24"/>
        <v>0</v>
      </c>
      <c r="H174" s="56">
        <f t="shared" si="25"/>
        <v>0</v>
      </c>
      <c r="I174" s="56">
        <f t="shared" si="26"/>
        <v>0</v>
      </c>
      <c r="J174" s="57">
        <f t="shared" si="27"/>
        <v>0</v>
      </c>
    </row>
    <row r="175" spans="1:10" x14ac:dyDescent="0.25">
      <c r="A175" s="59"/>
      <c r="B175" s="46"/>
      <c r="C175" s="44"/>
      <c r="D175" s="44"/>
      <c r="E175" s="45"/>
      <c r="F175" s="42">
        <v>18</v>
      </c>
      <c r="G175" s="56">
        <f t="shared" si="24"/>
        <v>0</v>
      </c>
      <c r="H175" s="56">
        <f t="shared" si="25"/>
        <v>0</v>
      </c>
      <c r="I175" s="56">
        <f t="shared" si="26"/>
        <v>0</v>
      </c>
      <c r="J175" s="57">
        <f t="shared" si="27"/>
        <v>0</v>
      </c>
    </row>
    <row r="176" spans="1:10" x14ac:dyDescent="0.25">
      <c r="A176" s="59"/>
      <c r="B176" s="46"/>
      <c r="C176" s="44"/>
      <c r="D176" s="44"/>
      <c r="E176" s="45"/>
      <c r="F176" s="42">
        <v>18</v>
      </c>
      <c r="G176" s="56">
        <f t="shared" si="24"/>
        <v>0</v>
      </c>
      <c r="H176" s="56">
        <f t="shared" si="25"/>
        <v>0</v>
      </c>
      <c r="I176" s="56">
        <f t="shared" si="26"/>
        <v>0</v>
      </c>
      <c r="J176" s="57">
        <f t="shared" si="27"/>
        <v>0</v>
      </c>
    </row>
    <row r="177" spans="1:10" x14ac:dyDescent="0.25">
      <c r="A177" s="59"/>
      <c r="B177" s="46"/>
      <c r="C177" s="44"/>
      <c r="D177" s="44"/>
      <c r="E177" s="45"/>
      <c r="F177" s="42">
        <v>18</v>
      </c>
      <c r="G177" s="56">
        <f t="shared" si="24"/>
        <v>0</v>
      </c>
      <c r="H177" s="56">
        <f t="shared" si="25"/>
        <v>0</v>
      </c>
      <c r="I177" s="56">
        <f t="shared" si="26"/>
        <v>0</v>
      </c>
      <c r="J177" s="57">
        <f t="shared" si="27"/>
        <v>0</v>
      </c>
    </row>
    <row r="178" spans="1:10" x14ac:dyDescent="0.25">
      <c r="A178" s="59"/>
      <c r="B178" s="46"/>
      <c r="C178" s="44"/>
      <c r="D178" s="44"/>
      <c r="E178" s="45"/>
      <c r="F178" s="42">
        <v>18</v>
      </c>
      <c r="G178" s="56">
        <f t="shared" si="24"/>
        <v>0</v>
      </c>
      <c r="H178" s="56">
        <f t="shared" si="25"/>
        <v>0</v>
      </c>
      <c r="I178" s="56">
        <f t="shared" si="26"/>
        <v>0</v>
      </c>
      <c r="J178" s="57">
        <f t="shared" si="27"/>
        <v>0</v>
      </c>
    </row>
    <row r="179" spans="1:10" x14ac:dyDescent="0.25">
      <c r="A179" s="59"/>
      <c r="B179" s="46"/>
      <c r="C179" s="44"/>
      <c r="D179" s="44"/>
      <c r="E179" s="45"/>
      <c r="F179" s="42">
        <v>18</v>
      </c>
      <c r="G179" s="56">
        <f t="shared" si="24"/>
        <v>0</v>
      </c>
      <c r="H179" s="56">
        <f t="shared" si="25"/>
        <v>0</v>
      </c>
      <c r="I179" s="56">
        <f t="shared" si="26"/>
        <v>0</v>
      </c>
      <c r="J179" s="57">
        <f t="shared" si="27"/>
        <v>0</v>
      </c>
    </row>
    <row r="180" spans="1:10" x14ac:dyDescent="0.25">
      <c r="A180" s="59"/>
      <c r="B180" s="46"/>
      <c r="C180" s="44"/>
      <c r="D180" s="44"/>
      <c r="E180" s="45"/>
      <c r="F180" s="42">
        <v>18</v>
      </c>
      <c r="G180" s="56">
        <f t="shared" si="24"/>
        <v>0</v>
      </c>
      <c r="H180" s="56">
        <f t="shared" si="25"/>
        <v>0</v>
      </c>
      <c r="I180" s="56">
        <f t="shared" si="26"/>
        <v>0</v>
      </c>
      <c r="J180" s="57">
        <f t="shared" si="27"/>
        <v>0</v>
      </c>
    </row>
    <row r="181" spans="1:10" x14ac:dyDescent="0.25">
      <c r="A181" s="59"/>
      <c r="B181" s="46"/>
      <c r="C181" s="44"/>
      <c r="D181" s="44"/>
      <c r="E181" s="45"/>
      <c r="F181" s="42">
        <v>18</v>
      </c>
      <c r="G181" s="56">
        <f t="shared" si="24"/>
        <v>0</v>
      </c>
      <c r="H181" s="56">
        <f t="shared" si="25"/>
        <v>0</v>
      </c>
      <c r="I181" s="56">
        <f t="shared" si="26"/>
        <v>0</v>
      </c>
      <c r="J181" s="57">
        <f t="shared" si="27"/>
        <v>0</v>
      </c>
    </row>
    <row r="182" spans="1:10" x14ac:dyDescent="0.25">
      <c r="A182" s="59"/>
      <c r="B182" s="46"/>
      <c r="C182" s="44"/>
      <c r="D182" s="44"/>
      <c r="E182" s="45"/>
      <c r="F182" s="42">
        <v>18</v>
      </c>
      <c r="G182" s="56">
        <f t="shared" si="24"/>
        <v>0</v>
      </c>
      <c r="H182" s="56">
        <f t="shared" si="25"/>
        <v>0</v>
      </c>
      <c r="I182" s="56">
        <f t="shared" si="26"/>
        <v>0</v>
      </c>
      <c r="J182" s="57">
        <f t="shared" si="27"/>
        <v>0</v>
      </c>
    </row>
    <row r="183" spans="1:10" x14ac:dyDescent="0.25">
      <c r="A183" s="59"/>
      <c r="B183" s="46"/>
      <c r="C183" s="44"/>
      <c r="D183" s="44"/>
      <c r="E183" s="45"/>
      <c r="F183" s="42">
        <v>18</v>
      </c>
      <c r="G183" s="56">
        <f t="shared" si="24"/>
        <v>0</v>
      </c>
      <c r="H183" s="56">
        <f t="shared" si="25"/>
        <v>0</v>
      </c>
      <c r="I183" s="56">
        <f t="shared" si="26"/>
        <v>0</v>
      </c>
      <c r="J183" s="57">
        <f t="shared" si="27"/>
        <v>0</v>
      </c>
    </row>
    <row r="184" spans="1:10" x14ac:dyDescent="0.25">
      <c r="A184" s="59"/>
      <c r="B184" s="46"/>
      <c r="C184" s="44"/>
      <c r="D184" s="44"/>
      <c r="E184" s="45"/>
      <c r="F184" s="42">
        <v>18</v>
      </c>
      <c r="G184" s="56">
        <f t="shared" si="24"/>
        <v>0</v>
      </c>
      <c r="H184" s="56">
        <f t="shared" si="25"/>
        <v>0</v>
      </c>
      <c r="I184" s="56">
        <f t="shared" si="26"/>
        <v>0</v>
      </c>
      <c r="J184" s="57">
        <f t="shared" si="27"/>
        <v>0</v>
      </c>
    </row>
    <row r="185" spans="1:10" x14ac:dyDescent="0.25">
      <c r="A185" s="59"/>
      <c r="B185" s="46"/>
      <c r="C185" s="44"/>
      <c r="D185" s="44"/>
      <c r="E185" s="45"/>
      <c r="F185" s="42">
        <v>18</v>
      </c>
      <c r="G185" s="56">
        <f t="shared" si="24"/>
        <v>0</v>
      </c>
      <c r="H185" s="56">
        <f t="shared" si="25"/>
        <v>0</v>
      </c>
      <c r="I185" s="56">
        <f t="shared" si="26"/>
        <v>0</v>
      </c>
      <c r="J185" s="57">
        <f t="shared" si="27"/>
        <v>0</v>
      </c>
    </row>
    <row r="186" spans="1:10" x14ac:dyDescent="0.25">
      <c r="A186" s="59"/>
      <c r="B186" s="46"/>
      <c r="C186" s="44"/>
      <c r="D186" s="44"/>
      <c r="E186" s="45"/>
      <c r="F186" s="42">
        <v>18</v>
      </c>
      <c r="G186" s="56">
        <f t="shared" si="24"/>
        <v>0</v>
      </c>
      <c r="H186" s="56">
        <f t="shared" si="25"/>
        <v>0</v>
      </c>
      <c r="I186" s="56">
        <f t="shared" si="26"/>
        <v>0</v>
      </c>
      <c r="J186" s="57">
        <f t="shared" si="27"/>
        <v>0</v>
      </c>
    </row>
    <row r="187" spans="1:10" x14ac:dyDescent="0.25">
      <c r="A187" s="59"/>
      <c r="B187" s="46"/>
      <c r="C187" s="44"/>
      <c r="D187" s="44"/>
      <c r="E187" s="45"/>
      <c r="F187" s="42">
        <v>18</v>
      </c>
      <c r="G187" s="56">
        <f t="shared" si="24"/>
        <v>0</v>
      </c>
      <c r="H187" s="56">
        <f t="shared" si="25"/>
        <v>0</v>
      </c>
      <c r="I187" s="56">
        <f t="shared" si="26"/>
        <v>0</v>
      </c>
      <c r="J187" s="57">
        <f t="shared" si="27"/>
        <v>0</v>
      </c>
    </row>
    <row r="188" spans="1:10" x14ac:dyDescent="0.25">
      <c r="A188" s="59"/>
      <c r="B188" s="46"/>
      <c r="C188" s="44"/>
      <c r="D188" s="44"/>
      <c r="E188" s="45"/>
      <c r="F188" s="42">
        <v>18</v>
      </c>
      <c r="G188" s="56">
        <f t="shared" si="24"/>
        <v>0</v>
      </c>
      <c r="H188" s="56">
        <f t="shared" si="25"/>
        <v>0</v>
      </c>
      <c r="I188" s="56">
        <f t="shared" si="26"/>
        <v>0</v>
      </c>
      <c r="J188" s="57">
        <f t="shared" si="27"/>
        <v>0</v>
      </c>
    </row>
    <row r="189" spans="1:10" x14ac:dyDescent="0.25">
      <c r="A189" s="59"/>
      <c r="B189" s="46"/>
      <c r="C189" s="44"/>
      <c r="D189" s="44"/>
      <c r="E189" s="45"/>
      <c r="F189" s="42">
        <v>18</v>
      </c>
      <c r="G189" s="56">
        <f t="shared" si="24"/>
        <v>0</v>
      </c>
      <c r="H189" s="56">
        <f t="shared" si="25"/>
        <v>0</v>
      </c>
      <c r="I189" s="56">
        <f t="shared" si="26"/>
        <v>0</v>
      </c>
      <c r="J189" s="57">
        <f t="shared" si="27"/>
        <v>0</v>
      </c>
    </row>
    <row r="190" spans="1:10" x14ac:dyDescent="0.25">
      <c r="A190" s="59"/>
      <c r="B190" s="46"/>
      <c r="C190" s="44"/>
      <c r="D190" s="44"/>
      <c r="E190" s="45"/>
      <c r="F190" s="42">
        <v>18</v>
      </c>
      <c r="G190" s="56">
        <f t="shared" si="24"/>
        <v>0</v>
      </c>
      <c r="H190" s="56">
        <f t="shared" si="25"/>
        <v>0</v>
      </c>
      <c r="I190" s="56">
        <f t="shared" si="26"/>
        <v>0</v>
      </c>
      <c r="J190" s="57">
        <f t="shared" si="27"/>
        <v>0</v>
      </c>
    </row>
    <row r="191" spans="1:10" x14ac:dyDescent="0.25">
      <c r="A191" s="59"/>
      <c r="B191" s="46"/>
      <c r="C191" s="44"/>
      <c r="D191" s="44"/>
      <c r="E191" s="45"/>
      <c r="F191" s="42">
        <v>18</v>
      </c>
      <c r="G191" s="56">
        <f t="shared" si="24"/>
        <v>0</v>
      </c>
      <c r="H191" s="56">
        <f t="shared" si="25"/>
        <v>0</v>
      </c>
      <c r="I191" s="56">
        <f t="shared" si="26"/>
        <v>0</v>
      </c>
      <c r="J191" s="57">
        <f t="shared" si="27"/>
        <v>0</v>
      </c>
    </row>
    <row r="192" spans="1:10" x14ac:dyDescent="0.25">
      <c r="A192" s="59"/>
      <c r="B192" s="46"/>
      <c r="C192" s="44"/>
      <c r="D192" s="44"/>
      <c r="E192" s="45"/>
      <c r="F192" s="42">
        <v>18</v>
      </c>
      <c r="G192" s="56">
        <f t="shared" si="24"/>
        <v>0</v>
      </c>
      <c r="H192" s="56">
        <f t="shared" si="25"/>
        <v>0</v>
      </c>
      <c r="I192" s="56">
        <f t="shared" si="26"/>
        <v>0</v>
      </c>
      <c r="J192" s="57">
        <f t="shared" si="27"/>
        <v>0</v>
      </c>
    </row>
    <row r="193" spans="1:10" x14ac:dyDescent="0.25">
      <c r="A193" s="59"/>
      <c r="B193" s="46"/>
      <c r="C193" s="44"/>
      <c r="D193" s="44"/>
      <c r="E193" s="45"/>
      <c r="F193" s="42">
        <v>18</v>
      </c>
      <c r="G193" s="56">
        <f t="shared" si="24"/>
        <v>0</v>
      </c>
      <c r="H193" s="56">
        <f t="shared" si="25"/>
        <v>0</v>
      </c>
      <c r="I193" s="56">
        <f t="shared" si="26"/>
        <v>0</v>
      </c>
      <c r="J193" s="57">
        <f t="shared" si="27"/>
        <v>0</v>
      </c>
    </row>
    <row r="194" spans="1:10" x14ac:dyDescent="0.25">
      <c r="A194" s="59"/>
      <c r="B194" s="46"/>
      <c r="C194" s="44"/>
      <c r="D194" s="44"/>
      <c r="E194" s="45"/>
      <c r="F194" s="42">
        <v>18</v>
      </c>
      <c r="G194" s="56">
        <f t="shared" si="24"/>
        <v>0</v>
      </c>
      <c r="H194" s="56">
        <f t="shared" si="25"/>
        <v>0</v>
      </c>
      <c r="I194" s="56">
        <f t="shared" si="26"/>
        <v>0</v>
      </c>
      <c r="J194" s="57">
        <f t="shared" si="27"/>
        <v>0</v>
      </c>
    </row>
    <row r="195" spans="1:10" x14ac:dyDescent="0.25">
      <c r="A195" s="59"/>
      <c r="B195" s="46"/>
      <c r="C195" s="44"/>
      <c r="D195" s="44"/>
      <c r="E195" s="45"/>
      <c r="F195" s="42">
        <v>18</v>
      </c>
      <c r="G195" s="56">
        <f t="shared" si="24"/>
        <v>0</v>
      </c>
      <c r="H195" s="56">
        <f t="shared" si="25"/>
        <v>0</v>
      </c>
      <c r="I195" s="56">
        <f t="shared" si="26"/>
        <v>0</v>
      </c>
      <c r="J195" s="57">
        <f t="shared" si="27"/>
        <v>0</v>
      </c>
    </row>
    <row r="196" spans="1:10" x14ac:dyDescent="0.25">
      <c r="A196" s="59"/>
      <c r="B196" s="46"/>
      <c r="C196" s="44"/>
      <c r="D196" s="44"/>
      <c r="E196" s="45"/>
      <c r="F196" s="42">
        <v>18</v>
      </c>
      <c r="G196" s="56">
        <f t="shared" si="24"/>
        <v>0</v>
      </c>
      <c r="H196" s="56">
        <f t="shared" si="25"/>
        <v>0</v>
      </c>
      <c r="I196" s="56">
        <f t="shared" si="26"/>
        <v>0</v>
      </c>
      <c r="J196" s="57">
        <f t="shared" si="27"/>
        <v>0</v>
      </c>
    </row>
    <row r="197" spans="1:10" x14ac:dyDescent="0.25">
      <c r="A197" s="59"/>
      <c r="B197" s="46"/>
      <c r="C197" s="44"/>
      <c r="D197" s="44"/>
      <c r="E197" s="45"/>
      <c r="F197" s="42">
        <v>18</v>
      </c>
      <c r="G197" s="56">
        <f t="shared" si="24"/>
        <v>0</v>
      </c>
      <c r="H197" s="56">
        <f t="shared" si="25"/>
        <v>0</v>
      </c>
      <c r="I197" s="56">
        <f t="shared" si="26"/>
        <v>0</v>
      </c>
      <c r="J197" s="57">
        <f t="shared" si="27"/>
        <v>0</v>
      </c>
    </row>
    <row r="198" spans="1:10" x14ac:dyDescent="0.25">
      <c r="A198" s="59"/>
      <c r="B198" s="46"/>
      <c r="C198" s="44"/>
      <c r="D198" s="44"/>
      <c r="E198" s="45"/>
      <c r="F198" s="42">
        <v>18</v>
      </c>
      <c r="G198" s="56">
        <f t="shared" si="24"/>
        <v>0</v>
      </c>
      <c r="H198" s="56">
        <f t="shared" si="25"/>
        <v>0</v>
      </c>
      <c r="I198" s="56">
        <f t="shared" si="26"/>
        <v>0</v>
      </c>
      <c r="J198" s="57">
        <f t="shared" si="27"/>
        <v>0</v>
      </c>
    </row>
    <row r="199" spans="1:10" x14ac:dyDescent="0.25">
      <c r="A199" s="59"/>
      <c r="B199" s="46"/>
      <c r="C199" s="44"/>
      <c r="D199" s="44"/>
      <c r="E199" s="45"/>
      <c r="F199" s="42">
        <v>18</v>
      </c>
      <c r="G199" s="56">
        <f t="shared" si="24"/>
        <v>0</v>
      </c>
      <c r="H199" s="56">
        <f t="shared" si="25"/>
        <v>0</v>
      </c>
      <c r="I199" s="56">
        <f t="shared" si="26"/>
        <v>0</v>
      </c>
      <c r="J199" s="57">
        <f t="shared" si="27"/>
        <v>0</v>
      </c>
    </row>
    <row r="200" spans="1:10" x14ac:dyDescent="0.25">
      <c r="A200" s="59"/>
      <c r="B200" s="46"/>
      <c r="C200" s="44"/>
      <c r="D200" s="44"/>
      <c r="E200" s="45"/>
      <c r="F200" s="42">
        <v>18</v>
      </c>
      <c r="G200" s="56">
        <f t="shared" si="24"/>
        <v>0</v>
      </c>
      <c r="H200" s="56">
        <f t="shared" si="25"/>
        <v>0</v>
      </c>
      <c r="I200" s="56">
        <f t="shared" si="26"/>
        <v>0</v>
      </c>
      <c r="J200" s="57">
        <f t="shared" si="27"/>
        <v>0</v>
      </c>
    </row>
    <row r="201" spans="1:10" x14ac:dyDescent="0.25">
      <c r="A201" s="59"/>
      <c r="B201" s="46"/>
      <c r="C201" s="44"/>
      <c r="D201" s="44"/>
      <c r="E201" s="45"/>
      <c r="F201" s="42">
        <v>18</v>
      </c>
      <c r="G201" s="56">
        <f t="shared" si="24"/>
        <v>0</v>
      </c>
      <c r="H201" s="56">
        <f t="shared" si="25"/>
        <v>0</v>
      </c>
      <c r="I201" s="56">
        <f t="shared" si="26"/>
        <v>0</v>
      </c>
      <c r="J201" s="57">
        <f t="shared" si="27"/>
        <v>0</v>
      </c>
    </row>
    <row r="202" spans="1:10" x14ac:dyDescent="0.25">
      <c r="A202" s="59"/>
      <c r="B202" s="46"/>
      <c r="C202" s="44"/>
      <c r="D202" s="44"/>
      <c r="E202" s="45"/>
      <c r="F202" s="42">
        <v>18</v>
      </c>
      <c r="G202" s="56">
        <f t="shared" si="24"/>
        <v>0</v>
      </c>
      <c r="H202" s="56">
        <f t="shared" si="25"/>
        <v>0</v>
      </c>
      <c r="I202" s="56">
        <f t="shared" si="26"/>
        <v>0</v>
      </c>
      <c r="J202" s="57">
        <f t="shared" si="27"/>
        <v>0</v>
      </c>
    </row>
    <row r="203" spans="1:10" x14ac:dyDescent="0.25">
      <c r="A203" s="59"/>
      <c r="B203" s="46"/>
      <c r="C203" s="44"/>
      <c r="D203" s="44"/>
      <c r="E203" s="45"/>
      <c r="F203" s="42">
        <v>18</v>
      </c>
      <c r="G203" s="56">
        <f t="shared" si="24"/>
        <v>0</v>
      </c>
      <c r="H203" s="56">
        <f t="shared" si="25"/>
        <v>0</v>
      </c>
      <c r="I203" s="56">
        <f t="shared" si="26"/>
        <v>0</v>
      </c>
      <c r="J203" s="57">
        <f t="shared" si="27"/>
        <v>0</v>
      </c>
    </row>
    <row r="204" spans="1:10" x14ac:dyDescent="0.25">
      <c r="A204" s="59"/>
      <c r="B204" s="46"/>
      <c r="C204" s="44"/>
      <c r="D204" s="44"/>
      <c r="E204" s="45"/>
      <c r="F204" s="42">
        <v>18</v>
      </c>
      <c r="G204" s="56">
        <f t="shared" ref="G204:G267" si="28">ROUND((E204*F204%)/2,)</f>
        <v>0</v>
      </c>
      <c r="H204" s="56">
        <f t="shared" ref="H204:H267" si="29">G204</f>
        <v>0</v>
      </c>
      <c r="I204" s="56">
        <f t="shared" ref="I204:I267" si="30">G204+H204</f>
        <v>0</v>
      </c>
      <c r="J204" s="57">
        <f t="shared" ref="J204:J267" si="31">E204+I204</f>
        <v>0</v>
      </c>
    </row>
    <row r="205" spans="1:10" x14ac:dyDescent="0.25">
      <c r="A205" s="59"/>
      <c r="B205" s="46"/>
      <c r="C205" s="44"/>
      <c r="D205" s="44"/>
      <c r="E205" s="45"/>
      <c r="F205" s="42">
        <v>18</v>
      </c>
      <c r="G205" s="56">
        <f t="shared" si="28"/>
        <v>0</v>
      </c>
      <c r="H205" s="56">
        <f t="shared" si="29"/>
        <v>0</v>
      </c>
      <c r="I205" s="56">
        <f t="shared" si="30"/>
        <v>0</v>
      </c>
      <c r="J205" s="57">
        <f t="shared" si="31"/>
        <v>0</v>
      </c>
    </row>
    <row r="206" spans="1:10" x14ac:dyDescent="0.25">
      <c r="A206" s="59"/>
      <c r="B206" s="46"/>
      <c r="C206" s="44"/>
      <c r="D206" s="44"/>
      <c r="E206" s="45"/>
      <c r="F206" s="42">
        <v>18</v>
      </c>
      <c r="G206" s="56">
        <f t="shared" si="28"/>
        <v>0</v>
      </c>
      <c r="H206" s="56">
        <f t="shared" si="29"/>
        <v>0</v>
      </c>
      <c r="I206" s="56">
        <f t="shared" si="30"/>
        <v>0</v>
      </c>
      <c r="J206" s="57">
        <f t="shared" si="31"/>
        <v>0</v>
      </c>
    </row>
    <row r="207" spans="1:10" x14ac:dyDescent="0.25">
      <c r="A207" s="59"/>
      <c r="B207" s="46"/>
      <c r="C207" s="44"/>
      <c r="D207" s="44"/>
      <c r="E207" s="45"/>
      <c r="F207" s="42">
        <v>18</v>
      </c>
      <c r="G207" s="56">
        <f t="shared" si="28"/>
        <v>0</v>
      </c>
      <c r="H207" s="56">
        <f t="shared" si="29"/>
        <v>0</v>
      </c>
      <c r="I207" s="56">
        <f t="shared" si="30"/>
        <v>0</v>
      </c>
      <c r="J207" s="57">
        <f t="shared" si="31"/>
        <v>0</v>
      </c>
    </row>
    <row r="208" spans="1:10" x14ac:dyDescent="0.25">
      <c r="A208" s="59"/>
      <c r="B208" s="46"/>
      <c r="C208" s="44"/>
      <c r="D208" s="44"/>
      <c r="E208" s="45"/>
      <c r="F208" s="42">
        <v>18</v>
      </c>
      <c r="G208" s="56">
        <f t="shared" si="28"/>
        <v>0</v>
      </c>
      <c r="H208" s="56">
        <f t="shared" si="29"/>
        <v>0</v>
      </c>
      <c r="I208" s="56">
        <f t="shared" si="30"/>
        <v>0</v>
      </c>
      <c r="J208" s="57">
        <f t="shared" si="31"/>
        <v>0</v>
      </c>
    </row>
    <row r="209" spans="1:10" x14ac:dyDescent="0.25">
      <c r="A209" s="59"/>
      <c r="B209" s="46"/>
      <c r="C209" s="44"/>
      <c r="D209" s="44"/>
      <c r="E209" s="45"/>
      <c r="F209" s="42">
        <v>18</v>
      </c>
      <c r="G209" s="56">
        <f t="shared" si="28"/>
        <v>0</v>
      </c>
      <c r="H209" s="56">
        <f t="shared" si="29"/>
        <v>0</v>
      </c>
      <c r="I209" s="56">
        <f t="shared" si="30"/>
        <v>0</v>
      </c>
      <c r="J209" s="57">
        <f t="shared" si="31"/>
        <v>0</v>
      </c>
    </row>
    <row r="210" spans="1:10" x14ac:dyDescent="0.25">
      <c r="A210" s="59"/>
      <c r="B210" s="46"/>
      <c r="C210" s="44"/>
      <c r="D210" s="44"/>
      <c r="E210" s="45"/>
      <c r="F210" s="42">
        <v>18</v>
      </c>
      <c r="G210" s="56">
        <f t="shared" si="28"/>
        <v>0</v>
      </c>
      <c r="H210" s="56">
        <f t="shared" si="29"/>
        <v>0</v>
      </c>
      <c r="I210" s="56">
        <f t="shared" si="30"/>
        <v>0</v>
      </c>
      <c r="J210" s="57">
        <f t="shared" si="31"/>
        <v>0</v>
      </c>
    </row>
    <row r="211" spans="1:10" x14ac:dyDescent="0.25">
      <c r="A211" s="59"/>
      <c r="B211" s="46"/>
      <c r="C211" s="44"/>
      <c r="D211" s="44"/>
      <c r="E211" s="45"/>
      <c r="F211" s="42">
        <v>18</v>
      </c>
      <c r="G211" s="56">
        <f t="shared" si="28"/>
        <v>0</v>
      </c>
      <c r="H211" s="56">
        <f t="shared" si="29"/>
        <v>0</v>
      </c>
      <c r="I211" s="56">
        <f t="shared" si="30"/>
        <v>0</v>
      </c>
      <c r="J211" s="57">
        <f t="shared" si="31"/>
        <v>0</v>
      </c>
    </row>
    <row r="212" spans="1:10" x14ac:dyDescent="0.25">
      <c r="A212" s="59"/>
      <c r="B212" s="46"/>
      <c r="C212" s="44"/>
      <c r="D212" s="44"/>
      <c r="E212" s="45"/>
      <c r="F212" s="42">
        <v>18</v>
      </c>
      <c r="G212" s="56">
        <f t="shared" si="28"/>
        <v>0</v>
      </c>
      <c r="H212" s="56">
        <f t="shared" si="29"/>
        <v>0</v>
      </c>
      <c r="I212" s="56">
        <f t="shared" si="30"/>
        <v>0</v>
      </c>
      <c r="J212" s="57">
        <f t="shared" si="31"/>
        <v>0</v>
      </c>
    </row>
    <row r="213" spans="1:10" x14ac:dyDescent="0.25">
      <c r="A213" s="59"/>
      <c r="B213" s="46"/>
      <c r="C213" s="44"/>
      <c r="D213" s="44"/>
      <c r="E213" s="45"/>
      <c r="F213" s="42">
        <v>18</v>
      </c>
      <c r="G213" s="56">
        <f t="shared" si="28"/>
        <v>0</v>
      </c>
      <c r="H213" s="56">
        <f t="shared" si="29"/>
        <v>0</v>
      </c>
      <c r="I213" s="56">
        <f t="shared" si="30"/>
        <v>0</v>
      </c>
      <c r="J213" s="57">
        <f t="shared" si="31"/>
        <v>0</v>
      </c>
    </row>
    <row r="214" spans="1:10" x14ac:dyDescent="0.25">
      <c r="A214" s="59"/>
      <c r="B214" s="46"/>
      <c r="C214" s="44"/>
      <c r="D214" s="44"/>
      <c r="E214" s="45"/>
      <c r="F214" s="42">
        <v>18</v>
      </c>
      <c r="G214" s="56">
        <f t="shared" si="28"/>
        <v>0</v>
      </c>
      <c r="H214" s="56">
        <f t="shared" si="29"/>
        <v>0</v>
      </c>
      <c r="I214" s="56">
        <f t="shared" si="30"/>
        <v>0</v>
      </c>
      <c r="J214" s="57">
        <f t="shared" si="31"/>
        <v>0</v>
      </c>
    </row>
    <row r="215" spans="1:10" x14ac:dyDescent="0.25">
      <c r="A215" s="59"/>
      <c r="B215" s="46"/>
      <c r="C215" s="44"/>
      <c r="D215" s="44"/>
      <c r="E215" s="45"/>
      <c r="F215" s="42">
        <v>18</v>
      </c>
      <c r="G215" s="56">
        <f t="shared" si="28"/>
        <v>0</v>
      </c>
      <c r="H215" s="56">
        <f t="shared" si="29"/>
        <v>0</v>
      </c>
      <c r="I215" s="56">
        <f t="shared" si="30"/>
        <v>0</v>
      </c>
      <c r="J215" s="57">
        <f t="shared" si="31"/>
        <v>0</v>
      </c>
    </row>
    <row r="216" spans="1:10" x14ac:dyDescent="0.25">
      <c r="A216" s="59"/>
      <c r="B216" s="46"/>
      <c r="C216" s="44"/>
      <c r="D216" s="44"/>
      <c r="E216" s="45"/>
      <c r="F216" s="42">
        <v>18</v>
      </c>
      <c r="G216" s="56">
        <f t="shared" si="28"/>
        <v>0</v>
      </c>
      <c r="H216" s="56">
        <f t="shared" si="29"/>
        <v>0</v>
      </c>
      <c r="I216" s="56">
        <f t="shared" si="30"/>
        <v>0</v>
      </c>
      <c r="J216" s="57">
        <f t="shared" si="31"/>
        <v>0</v>
      </c>
    </row>
    <row r="217" spans="1:10" x14ac:dyDescent="0.25">
      <c r="A217" s="59"/>
      <c r="B217" s="46"/>
      <c r="C217" s="44"/>
      <c r="D217" s="44"/>
      <c r="E217" s="45"/>
      <c r="F217" s="42">
        <v>18</v>
      </c>
      <c r="G217" s="56">
        <f t="shared" si="28"/>
        <v>0</v>
      </c>
      <c r="H217" s="56">
        <f t="shared" si="29"/>
        <v>0</v>
      </c>
      <c r="I217" s="56">
        <f t="shared" si="30"/>
        <v>0</v>
      </c>
      <c r="J217" s="57">
        <f t="shared" si="31"/>
        <v>0</v>
      </c>
    </row>
    <row r="218" spans="1:10" x14ac:dyDescent="0.25">
      <c r="A218" s="59"/>
      <c r="B218" s="46"/>
      <c r="C218" s="44"/>
      <c r="D218" s="44"/>
      <c r="E218" s="45"/>
      <c r="F218" s="42">
        <v>18</v>
      </c>
      <c r="G218" s="56">
        <f t="shared" si="28"/>
        <v>0</v>
      </c>
      <c r="H218" s="56">
        <f t="shared" si="29"/>
        <v>0</v>
      </c>
      <c r="I218" s="56">
        <f t="shared" si="30"/>
        <v>0</v>
      </c>
      <c r="J218" s="57">
        <f t="shared" si="31"/>
        <v>0</v>
      </c>
    </row>
    <row r="219" spans="1:10" x14ac:dyDescent="0.25">
      <c r="A219" s="59"/>
      <c r="B219" s="46"/>
      <c r="C219" s="44"/>
      <c r="D219" s="44"/>
      <c r="E219" s="45"/>
      <c r="F219" s="42">
        <v>18</v>
      </c>
      <c r="G219" s="56">
        <f t="shared" si="28"/>
        <v>0</v>
      </c>
      <c r="H219" s="56">
        <f t="shared" si="29"/>
        <v>0</v>
      </c>
      <c r="I219" s="56">
        <f t="shared" si="30"/>
        <v>0</v>
      </c>
      <c r="J219" s="57">
        <f t="shared" si="31"/>
        <v>0</v>
      </c>
    </row>
    <row r="220" spans="1:10" x14ac:dyDescent="0.25">
      <c r="A220" s="59"/>
      <c r="B220" s="46"/>
      <c r="C220" s="44"/>
      <c r="D220" s="44"/>
      <c r="E220" s="45"/>
      <c r="F220" s="42">
        <v>18</v>
      </c>
      <c r="G220" s="56">
        <f t="shared" si="28"/>
        <v>0</v>
      </c>
      <c r="H220" s="56">
        <f t="shared" si="29"/>
        <v>0</v>
      </c>
      <c r="I220" s="56">
        <f t="shared" si="30"/>
        <v>0</v>
      </c>
      <c r="J220" s="57">
        <f t="shared" si="31"/>
        <v>0</v>
      </c>
    </row>
    <row r="221" spans="1:10" x14ac:dyDescent="0.25">
      <c r="A221" s="59"/>
      <c r="B221" s="46"/>
      <c r="C221" s="44"/>
      <c r="D221" s="44"/>
      <c r="E221" s="45"/>
      <c r="F221" s="42">
        <v>18</v>
      </c>
      <c r="G221" s="56">
        <f t="shared" si="28"/>
        <v>0</v>
      </c>
      <c r="H221" s="56">
        <f t="shared" si="29"/>
        <v>0</v>
      </c>
      <c r="I221" s="56">
        <f t="shared" si="30"/>
        <v>0</v>
      </c>
      <c r="J221" s="57">
        <f t="shared" si="31"/>
        <v>0</v>
      </c>
    </row>
    <row r="222" spans="1:10" x14ac:dyDescent="0.25">
      <c r="A222" s="59"/>
      <c r="B222" s="46"/>
      <c r="C222" s="44"/>
      <c r="D222" s="44"/>
      <c r="E222" s="45"/>
      <c r="F222" s="42">
        <v>18</v>
      </c>
      <c r="G222" s="56">
        <f t="shared" si="28"/>
        <v>0</v>
      </c>
      <c r="H222" s="56">
        <f t="shared" si="29"/>
        <v>0</v>
      </c>
      <c r="I222" s="56">
        <f t="shared" si="30"/>
        <v>0</v>
      </c>
      <c r="J222" s="57">
        <f t="shared" si="31"/>
        <v>0</v>
      </c>
    </row>
    <row r="223" spans="1:10" x14ac:dyDescent="0.25">
      <c r="A223" s="59"/>
      <c r="B223" s="46"/>
      <c r="C223" s="44"/>
      <c r="D223" s="44"/>
      <c r="E223" s="45"/>
      <c r="F223" s="42">
        <v>18</v>
      </c>
      <c r="G223" s="56">
        <f t="shared" si="28"/>
        <v>0</v>
      </c>
      <c r="H223" s="56">
        <f t="shared" si="29"/>
        <v>0</v>
      </c>
      <c r="I223" s="56">
        <f t="shared" si="30"/>
        <v>0</v>
      </c>
      <c r="J223" s="57">
        <f t="shared" si="31"/>
        <v>0</v>
      </c>
    </row>
    <row r="224" spans="1:10" x14ac:dyDescent="0.25">
      <c r="A224" s="59"/>
      <c r="B224" s="46"/>
      <c r="C224" s="44"/>
      <c r="D224" s="44"/>
      <c r="E224" s="45"/>
      <c r="F224" s="42">
        <v>18</v>
      </c>
      <c r="G224" s="56">
        <f t="shared" si="28"/>
        <v>0</v>
      </c>
      <c r="H224" s="56">
        <f t="shared" si="29"/>
        <v>0</v>
      </c>
      <c r="I224" s="56">
        <f t="shared" si="30"/>
        <v>0</v>
      </c>
      <c r="J224" s="57">
        <f t="shared" si="31"/>
        <v>0</v>
      </c>
    </row>
    <row r="225" spans="1:10" x14ac:dyDescent="0.25">
      <c r="A225" s="59"/>
      <c r="B225" s="46"/>
      <c r="C225" s="44"/>
      <c r="D225" s="44"/>
      <c r="E225" s="45"/>
      <c r="F225" s="42">
        <v>18</v>
      </c>
      <c r="G225" s="56">
        <f t="shared" si="28"/>
        <v>0</v>
      </c>
      <c r="H225" s="56">
        <f t="shared" si="29"/>
        <v>0</v>
      </c>
      <c r="I225" s="56">
        <f t="shared" si="30"/>
        <v>0</v>
      </c>
      <c r="J225" s="57">
        <f t="shared" si="31"/>
        <v>0</v>
      </c>
    </row>
    <row r="226" spans="1:10" x14ac:dyDescent="0.25">
      <c r="A226" s="59"/>
      <c r="B226" s="46"/>
      <c r="C226" s="44"/>
      <c r="D226" s="44"/>
      <c r="E226" s="45"/>
      <c r="F226" s="42">
        <v>18</v>
      </c>
      <c r="G226" s="56">
        <f t="shared" si="28"/>
        <v>0</v>
      </c>
      <c r="H226" s="56">
        <f t="shared" si="29"/>
        <v>0</v>
      </c>
      <c r="I226" s="56">
        <f t="shared" si="30"/>
        <v>0</v>
      </c>
      <c r="J226" s="57">
        <f t="shared" si="31"/>
        <v>0</v>
      </c>
    </row>
    <row r="227" spans="1:10" x14ac:dyDescent="0.25">
      <c r="A227" s="59"/>
      <c r="B227" s="46"/>
      <c r="C227" s="44"/>
      <c r="D227" s="44"/>
      <c r="E227" s="45"/>
      <c r="F227" s="42">
        <v>18</v>
      </c>
      <c r="G227" s="56">
        <f t="shared" si="28"/>
        <v>0</v>
      </c>
      <c r="H227" s="56">
        <f t="shared" si="29"/>
        <v>0</v>
      </c>
      <c r="I227" s="56">
        <f t="shared" si="30"/>
        <v>0</v>
      </c>
      <c r="J227" s="57">
        <f t="shared" si="31"/>
        <v>0</v>
      </c>
    </row>
    <row r="228" spans="1:10" x14ac:dyDescent="0.25">
      <c r="A228" s="59"/>
      <c r="B228" s="46"/>
      <c r="C228" s="44"/>
      <c r="D228" s="44"/>
      <c r="E228" s="45"/>
      <c r="F228" s="42">
        <v>18</v>
      </c>
      <c r="G228" s="56">
        <f t="shared" si="28"/>
        <v>0</v>
      </c>
      <c r="H228" s="56">
        <f t="shared" si="29"/>
        <v>0</v>
      </c>
      <c r="I228" s="56">
        <f t="shared" si="30"/>
        <v>0</v>
      </c>
      <c r="J228" s="57">
        <f t="shared" si="31"/>
        <v>0</v>
      </c>
    </row>
    <row r="229" spans="1:10" x14ac:dyDescent="0.25">
      <c r="A229" s="59"/>
      <c r="B229" s="46"/>
      <c r="C229" s="44"/>
      <c r="D229" s="44"/>
      <c r="E229" s="45"/>
      <c r="F229" s="42">
        <v>18</v>
      </c>
      <c r="G229" s="56">
        <f t="shared" si="28"/>
        <v>0</v>
      </c>
      <c r="H229" s="56">
        <f t="shared" si="29"/>
        <v>0</v>
      </c>
      <c r="I229" s="56">
        <f t="shared" si="30"/>
        <v>0</v>
      </c>
      <c r="J229" s="57">
        <f t="shared" si="31"/>
        <v>0</v>
      </c>
    </row>
    <row r="230" spans="1:10" x14ac:dyDescent="0.25">
      <c r="A230" s="59"/>
      <c r="B230" s="46"/>
      <c r="C230" s="44"/>
      <c r="D230" s="44"/>
      <c r="E230" s="45"/>
      <c r="F230" s="42">
        <v>18</v>
      </c>
      <c r="G230" s="56">
        <f t="shared" si="28"/>
        <v>0</v>
      </c>
      <c r="H230" s="56">
        <f t="shared" si="29"/>
        <v>0</v>
      </c>
      <c r="I230" s="56">
        <f t="shared" si="30"/>
        <v>0</v>
      </c>
      <c r="J230" s="57">
        <f t="shared" si="31"/>
        <v>0</v>
      </c>
    </row>
    <row r="231" spans="1:10" x14ac:dyDescent="0.25">
      <c r="A231" s="59"/>
      <c r="B231" s="46"/>
      <c r="C231" s="44"/>
      <c r="D231" s="44"/>
      <c r="E231" s="45"/>
      <c r="F231" s="42">
        <v>18</v>
      </c>
      <c r="G231" s="56">
        <f t="shared" si="28"/>
        <v>0</v>
      </c>
      <c r="H231" s="56">
        <f t="shared" si="29"/>
        <v>0</v>
      </c>
      <c r="I231" s="56">
        <f t="shared" si="30"/>
        <v>0</v>
      </c>
      <c r="J231" s="57">
        <f t="shared" si="31"/>
        <v>0</v>
      </c>
    </row>
    <row r="232" spans="1:10" x14ac:dyDescent="0.25">
      <c r="A232" s="59"/>
      <c r="B232" s="46"/>
      <c r="C232" s="44"/>
      <c r="D232" s="44"/>
      <c r="E232" s="45"/>
      <c r="F232" s="42">
        <v>18</v>
      </c>
      <c r="G232" s="56">
        <f t="shared" si="28"/>
        <v>0</v>
      </c>
      <c r="H232" s="56">
        <f t="shared" si="29"/>
        <v>0</v>
      </c>
      <c r="I232" s="56">
        <f t="shared" si="30"/>
        <v>0</v>
      </c>
      <c r="J232" s="57">
        <f t="shared" si="31"/>
        <v>0</v>
      </c>
    </row>
    <row r="233" spans="1:10" x14ac:dyDescent="0.25">
      <c r="A233" s="59"/>
      <c r="B233" s="46"/>
      <c r="C233" s="44"/>
      <c r="D233" s="44"/>
      <c r="E233" s="45"/>
      <c r="F233" s="42">
        <v>18</v>
      </c>
      <c r="G233" s="56">
        <f t="shared" si="28"/>
        <v>0</v>
      </c>
      <c r="H233" s="56">
        <f t="shared" si="29"/>
        <v>0</v>
      </c>
      <c r="I233" s="56">
        <f t="shared" si="30"/>
        <v>0</v>
      </c>
      <c r="J233" s="57">
        <f t="shared" si="31"/>
        <v>0</v>
      </c>
    </row>
    <row r="234" spans="1:10" x14ac:dyDescent="0.25">
      <c r="A234" s="59"/>
      <c r="B234" s="46"/>
      <c r="C234" s="44"/>
      <c r="D234" s="44"/>
      <c r="E234" s="45"/>
      <c r="F234" s="42">
        <v>18</v>
      </c>
      <c r="G234" s="56">
        <f t="shared" si="28"/>
        <v>0</v>
      </c>
      <c r="H234" s="56">
        <f t="shared" si="29"/>
        <v>0</v>
      </c>
      <c r="I234" s="56">
        <f t="shared" si="30"/>
        <v>0</v>
      </c>
      <c r="J234" s="57">
        <f t="shared" si="31"/>
        <v>0</v>
      </c>
    </row>
    <row r="235" spans="1:10" x14ac:dyDescent="0.25">
      <c r="A235" s="59"/>
      <c r="B235" s="46"/>
      <c r="C235" s="44"/>
      <c r="D235" s="44"/>
      <c r="E235" s="45"/>
      <c r="F235" s="42">
        <v>18</v>
      </c>
      <c r="G235" s="56">
        <f t="shared" si="28"/>
        <v>0</v>
      </c>
      <c r="H235" s="56">
        <f t="shared" si="29"/>
        <v>0</v>
      </c>
      <c r="I235" s="56">
        <f t="shared" si="30"/>
        <v>0</v>
      </c>
      <c r="J235" s="57">
        <f t="shared" si="31"/>
        <v>0</v>
      </c>
    </row>
    <row r="236" spans="1:10" x14ac:dyDescent="0.25">
      <c r="A236" s="59"/>
      <c r="B236" s="46"/>
      <c r="C236" s="44"/>
      <c r="D236" s="44"/>
      <c r="E236" s="45"/>
      <c r="F236" s="42">
        <v>18</v>
      </c>
      <c r="G236" s="56">
        <f t="shared" si="28"/>
        <v>0</v>
      </c>
      <c r="H236" s="56">
        <f t="shared" si="29"/>
        <v>0</v>
      </c>
      <c r="I236" s="56">
        <f t="shared" si="30"/>
        <v>0</v>
      </c>
      <c r="J236" s="57">
        <f t="shared" si="31"/>
        <v>0</v>
      </c>
    </row>
    <row r="237" spans="1:10" x14ac:dyDescent="0.25">
      <c r="A237" s="59"/>
      <c r="B237" s="46"/>
      <c r="C237" s="44"/>
      <c r="D237" s="44"/>
      <c r="E237" s="45"/>
      <c r="F237" s="42">
        <v>18</v>
      </c>
      <c r="G237" s="56">
        <f t="shared" si="28"/>
        <v>0</v>
      </c>
      <c r="H237" s="56">
        <f t="shared" si="29"/>
        <v>0</v>
      </c>
      <c r="I237" s="56">
        <f t="shared" si="30"/>
        <v>0</v>
      </c>
      <c r="J237" s="57">
        <f t="shared" si="31"/>
        <v>0</v>
      </c>
    </row>
    <row r="238" spans="1:10" x14ac:dyDescent="0.25">
      <c r="A238" s="59"/>
      <c r="B238" s="46"/>
      <c r="C238" s="44"/>
      <c r="D238" s="44"/>
      <c r="E238" s="45"/>
      <c r="F238" s="42">
        <v>18</v>
      </c>
      <c r="G238" s="56">
        <f t="shared" si="28"/>
        <v>0</v>
      </c>
      <c r="H238" s="56">
        <f t="shared" si="29"/>
        <v>0</v>
      </c>
      <c r="I238" s="56">
        <f t="shared" si="30"/>
        <v>0</v>
      </c>
      <c r="J238" s="57">
        <f t="shared" si="31"/>
        <v>0</v>
      </c>
    </row>
    <row r="239" spans="1:10" x14ac:dyDescent="0.25">
      <c r="A239" s="59"/>
      <c r="B239" s="46"/>
      <c r="C239" s="44"/>
      <c r="D239" s="44"/>
      <c r="E239" s="45"/>
      <c r="F239" s="42">
        <v>18</v>
      </c>
      <c r="G239" s="56">
        <f t="shared" si="28"/>
        <v>0</v>
      </c>
      <c r="H239" s="56">
        <f t="shared" si="29"/>
        <v>0</v>
      </c>
      <c r="I239" s="56">
        <f t="shared" si="30"/>
        <v>0</v>
      </c>
      <c r="J239" s="57">
        <f t="shared" si="31"/>
        <v>0</v>
      </c>
    </row>
    <row r="240" spans="1:10" x14ac:dyDescent="0.25">
      <c r="A240" s="59"/>
      <c r="B240" s="46"/>
      <c r="C240" s="44"/>
      <c r="D240" s="44"/>
      <c r="E240" s="45"/>
      <c r="F240" s="42">
        <v>18</v>
      </c>
      <c r="G240" s="56">
        <f t="shared" si="28"/>
        <v>0</v>
      </c>
      <c r="H240" s="56">
        <f t="shared" si="29"/>
        <v>0</v>
      </c>
      <c r="I240" s="56">
        <f t="shared" si="30"/>
        <v>0</v>
      </c>
      <c r="J240" s="57">
        <f t="shared" si="31"/>
        <v>0</v>
      </c>
    </row>
    <row r="241" spans="1:10" x14ac:dyDescent="0.25">
      <c r="A241" s="59"/>
      <c r="B241" s="46"/>
      <c r="C241" s="44"/>
      <c r="D241" s="44"/>
      <c r="E241" s="45"/>
      <c r="F241" s="42">
        <v>18</v>
      </c>
      <c r="G241" s="56">
        <f t="shared" si="28"/>
        <v>0</v>
      </c>
      <c r="H241" s="56">
        <f t="shared" si="29"/>
        <v>0</v>
      </c>
      <c r="I241" s="56">
        <f t="shared" si="30"/>
        <v>0</v>
      </c>
      <c r="J241" s="57">
        <f t="shared" si="31"/>
        <v>0</v>
      </c>
    </row>
    <row r="242" spans="1:10" x14ac:dyDescent="0.25">
      <c r="A242" s="59"/>
      <c r="B242" s="46"/>
      <c r="C242" s="44"/>
      <c r="D242" s="44"/>
      <c r="E242" s="45"/>
      <c r="F242" s="42">
        <v>18</v>
      </c>
      <c r="G242" s="56">
        <f t="shared" si="28"/>
        <v>0</v>
      </c>
      <c r="H242" s="56">
        <f t="shared" si="29"/>
        <v>0</v>
      </c>
      <c r="I242" s="56">
        <f t="shared" si="30"/>
        <v>0</v>
      </c>
      <c r="J242" s="57">
        <f t="shared" si="31"/>
        <v>0</v>
      </c>
    </row>
    <row r="243" spans="1:10" x14ac:dyDescent="0.25">
      <c r="A243" s="59"/>
      <c r="B243" s="46"/>
      <c r="C243" s="44"/>
      <c r="D243" s="44"/>
      <c r="E243" s="45"/>
      <c r="F243" s="42">
        <v>18</v>
      </c>
      <c r="G243" s="56">
        <f t="shared" si="28"/>
        <v>0</v>
      </c>
      <c r="H243" s="56">
        <f t="shared" si="29"/>
        <v>0</v>
      </c>
      <c r="I243" s="56">
        <f t="shared" si="30"/>
        <v>0</v>
      </c>
      <c r="J243" s="57">
        <f t="shared" si="31"/>
        <v>0</v>
      </c>
    </row>
    <row r="244" spans="1:10" x14ac:dyDescent="0.25">
      <c r="A244" s="59"/>
      <c r="B244" s="46"/>
      <c r="C244" s="44"/>
      <c r="D244" s="44"/>
      <c r="E244" s="45"/>
      <c r="F244" s="42">
        <v>18</v>
      </c>
      <c r="G244" s="56">
        <f t="shared" si="28"/>
        <v>0</v>
      </c>
      <c r="H244" s="56">
        <f t="shared" si="29"/>
        <v>0</v>
      </c>
      <c r="I244" s="56">
        <f t="shared" si="30"/>
        <v>0</v>
      </c>
      <c r="J244" s="57">
        <f t="shared" si="31"/>
        <v>0</v>
      </c>
    </row>
    <row r="245" spans="1:10" x14ac:dyDescent="0.25">
      <c r="A245" s="59"/>
      <c r="B245" s="46"/>
      <c r="C245" s="44"/>
      <c r="D245" s="44"/>
      <c r="E245" s="45"/>
      <c r="F245" s="42">
        <v>18</v>
      </c>
      <c r="G245" s="56">
        <f t="shared" si="28"/>
        <v>0</v>
      </c>
      <c r="H245" s="56">
        <f t="shared" si="29"/>
        <v>0</v>
      </c>
      <c r="I245" s="56">
        <f t="shared" si="30"/>
        <v>0</v>
      </c>
      <c r="J245" s="57">
        <f t="shared" si="31"/>
        <v>0</v>
      </c>
    </row>
    <row r="246" spans="1:10" x14ac:dyDescent="0.25">
      <c r="A246" s="59"/>
      <c r="B246" s="46"/>
      <c r="C246" s="44"/>
      <c r="D246" s="44"/>
      <c r="E246" s="45"/>
      <c r="F246" s="42">
        <v>18</v>
      </c>
      <c r="G246" s="56">
        <f t="shared" si="28"/>
        <v>0</v>
      </c>
      <c r="H246" s="56">
        <f t="shared" si="29"/>
        <v>0</v>
      </c>
      <c r="I246" s="56">
        <f t="shared" si="30"/>
        <v>0</v>
      </c>
      <c r="J246" s="57">
        <f t="shared" si="31"/>
        <v>0</v>
      </c>
    </row>
    <row r="247" spans="1:10" x14ac:dyDescent="0.25">
      <c r="A247" s="59"/>
      <c r="B247" s="46"/>
      <c r="C247" s="44"/>
      <c r="D247" s="44"/>
      <c r="E247" s="45"/>
      <c r="F247" s="42">
        <v>18</v>
      </c>
      <c r="G247" s="56">
        <f t="shared" si="28"/>
        <v>0</v>
      </c>
      <c r="H247" s="56">
        <f t="shared" si="29"/>
        <v>0</v>
      </c>
      <c r="I247" s="56">
        <f t="shared" si="30"/>
        <v>0</v>
      </c>
      <c r="J247" s="57">
        <f t="shared" si="31"/>
        <v>0</v>
      </c>
    </row>
    <row r="248" spans="1:10" x14ac:dyDescent="0.25">
      <c r="A248" s="59"/>
      <c r="B248" s="46"/>
      <c r="C248" s="44"/>
      <c r="D248" s="44"/>
      <c r="E248" s="45"/>
      <c r="F248" s="42">
        <v>18</v>
      </c>
      <c r="G248" s="56">
        <f t="shared" si="28"/>
        <v>0</v>
      </c>
      <c r="H248" s="56">
        <f t="shared" si="29"/>
        <v>0</v>
      </c>
      <c r="I248" s="56">
        <f t="shared" si="30"/>
        <v>0</v>
      </c>
      <c r="J248" s="57">
        <f t="shared" si="31"/>
        <v>0</v>
      </c>
    </row>
    <row r="249" spans="1:10" x14ac:dyDescent="0.25">
      <c r="A249" s="59"/>
      <c r="B249" s="46"/>
      <c r="C249" s="44"/>
      <c r="D249" s="44"/>
      <c r="E249" s="45"/>
      <c r="F249" s="42">
        <v>18</v>
      </c>
      <c r="G249" s="56">
        <f t="shared" si="28"/>
        <v>0</v>
      </c>
      <c r="H249" s="56">
        <f t="shared" si="29"/>
        <v>0</v>
      </c>
      <c r="I249" s="56">
        <f t="shared" si="30"/>
        <v>0</v>
      </c>
      <c r="J249" s="57">
        <f t="shared" si="31"/>
        <v>0</v>
      </c>
    </row>
    <row r="250" spans="1:10" x14ac:dyDescent="0.25">
      <c r="A250" s="59"/>
      <c r="B250" s="46"/>
      <c r="C250" s="44"/>
      <c r="D250" s="44"/>
      <c r="E250" s="45"/>
      <c r="F250" s="42">
        <v>18</v>
      </c>
      <c r="G250" s="56">
        <f t="shared" si="28"/>
        <v>0</v>
      </c>
      <c r="H250" s="56">
        <f t="shared" si="29"/>
        <v>0</v>
      </c>
      <c r="I250" s="56">
        <f t="shared" si="30"/>
        <v>0</v>
      </c>
      <c r="J250" s="57">
        <f t="shared" si="31"/>
        <v>0</v>
      </c>
    </row>
    <row r="251" spans="1:10" x14ac:dyDescent="0.25">
      <c r="A251" s="59"/>
      <c r="B251" s="46"/>
      <c r="C251" s="44"/>
      <c r="D251" s="44"/>
      <c r="E251" s="45"/>
      <c r="F251" s="42">
        <v>18</v>
      </c>
      <c r="G251" s="56">
        <f t="shared" si="28"/>
        <v>0</v>
      </c>
      <c r="H251" s="56">
        <f t="shared" si="29"/>
        <v>0</v>
      </c>
      <c r="I251" s="56">
        <f t="shared" si="30"/>
        <v>0</v>
      </c>
      <c r="J251" s="57">
        <f t="shared" si="31"/>
        <v>0</v>
      </c>
    </row>
    <row r="252" spans="1:10" x14ac:dyDescent="0.25">
      <c r="A252" s="59"/>
      <c r="B252" s="46"/>
      <c r="C252" s="44"/>
      <c r="D252" s="44"/>
      <c r="E252" s="45"/>
      <c r="F252" s="42">
        <v>18</v>
      </c>
      <c r="G252" s="56">
        <f t="shared" si="28"/>
        <v>0</v>
      </c>
      <c r="H252" s="56">
        <f t="shared" si="29"/>
        <v>0</v>
      </c>
      <c r="I252" s="56">
        <f t="shared" si="30"/>
        <v>0</v>
      </c>
      <c r="J252" s="57">
        <f t="shared" si="31"/>
        <v>0</v>
      </c>
    </row>
    <row r="253" spans="1:10" x14ac:dyDescent="0.25">
      <c r="A253" s="59"/>
      <c r="B253" s="46"/>
      <c r="C253" s="44"/>
      <c r="D253" s="44"/>
      <c r="E253" s="45"/>
      <c r="F253" s="42">
        <v>18</v>
      </c>
      <c r="G253" s="56">
        <f t="shared" si="28"/>
        <v>0</v>
      </c>
      <c r="H253" s="56">
        <f t="shared" si="29"/>
        <v>0</v>
      </c>
      <c r="I253" s="56">
        <f t="shared" si="30"/>
        <v>0</v>
      </c>
      <c r="J253" s="57">
        <f t="shared" si="31"/>
        <v>0</v>
      </c>
    </row>
    <row r="254" spans="1:10" x14ac:dyDescent="0.25">
      <c r="A254" s="59"/>
      <c r="B254" s="46"/>
      <c r="C254" s="44"/>
      <c r="D254" s="44"/>
      <c r="E254" s="45"/>
      <c r="F254" s="42">
        <v>18</v>
      </c>
      <c r="G254" s="56">
        <f t="shared" si="28"/>
        <v>0</v>
      </c>
      <c r="H254" s="56">
        <f t="shared" si="29"/>
        <v>0</v>
      </c>
      <c r="I254" s="56">
        <f t="shared" si="30"/>
        <v>0</v>
      </c>
      <c r="J254" s="57">
        <f t="shared" si="31"/>
        <v>0</v>
      </c>
    </row>
    <row r="255" spans="1:10" x14ac:dyDescent="0.25">
      <c r="A255" s="59"/>
      <c r="B255" s="46"/>
      <c r="C255" s="44"/>
      <c r="D255" s="44"/>
      <c r="E255" s="45"/>
      <c r="F255" s="42">
        <v>18</v>
      </c>
      <c r="G255" s="56">
        <f t="shared" si="28"/>
        <v>0</v>
      </c>
      <c r="H255" s="56">
        <f t="shared" si="29"/>
        <v>0</v>
      </c>
      <c r="I255" s="56">
        <f t="shared" si="30"/>
        <v>0</v>
      </c>
      <c r="J255" s="57">
        <f t="shared" si="31"/>
        <v>0</v>
      </c>
    </row>
    <row r="256" spans="1:10" x14ac:dyDescent="0.25">
      <c r="A256" s="59"/>
      <c r="B256" s="46"/>
      <c r="C256" s="44"/>
      <c r="D256" s="44"/>
      <c r="E256" s="45"/>
      <c r="F256" s="42">
        <v>18</v>
      </c>
      <c r="G256" s="56">
        <f t="shared" si="28"/>
        <v>0</v>
      </c>
      <c r="H256" s="56">
        <f t="shared" si="29"/>
        <v>0</v>
      </c>
      <c r="I256" s="56">
        <f t="shared" si="30"/>
        <v>0</v>
      </c>
      <c r="J256" s="57">
        <f t="shared" si="31"/>
        <v>0</v>
      </c>
    </row>
    <row r="257" spans="1:10" x14ac:dyDescent="0.25">
      <c r="A257" s="59"/>
      <c r="B257" s="46"/>
      <c r="C257" s="44"/>
      <c r="D257" s="44"/>
      <c r="E257" s="45"/>
      <c r="F257" s="42">
        <v>18</v>
      </c>
      <c r="G257" s="56">
        <f t="shared" si="28"/>
        <v>0</v>
      </c>
      <c r="H257" s="56">
        <f t="shared" si="29"/>
        <v>0</v>
      </c>
      <c r="I257" s="56">
        <f t="shared" si="30"/>
        <v>0</v>
      </c>
      <c r="J257" s="57">
        <f t="shared" si="31"/>
        <v>0</v>
      </c>
    </row>
    <row r="258" spans="1:10" x14ac:dyDescent="0.25">
      <c r="A258" s="59"/>
      <c r="B258" s="46"/>
      <c r="C258" s="44"/>
      <c r="D258" s="44"/>
      <c r="E258" s="45"/>
      <c r="F258" s="42">
        <v>18</v>
      </c>
      <c r="G258" s="56">
        <f t="shared" si="28"/>
        <v>0</v>
      </c>
      <c r="H258" s="56">
        <f t="shared" si="29"/>
        <v>0</v>
      </c>
      <c r="I258" s="56">
        <f t="shared" si="30"/>
        <v>0</v>
      </c>
      <c r="J258" s="57">
        <f t="shared" si="31"/>
        <v>0</v>
      </c>
    </row>
    <row r="259" spans="1:10" x14ac:dyDescent="0.25">
      <c r="A259" s="59"/>
      <c r="B259" s="46"/>
      <c r="C259" s="44"/>
      <c r="D259" s="44"/>
      <c r="E259" s="45"/>
      <c r="F259" s="42">
        <v>18</v>
      </c>
      <c r="G259" s="56">
        <f t="shared" si="28"/>
        <v>0</v>
      </c>
      <c r="H259" s="56">
        <f t="shared" si="29"/>
        <v>0</v>
      </c>
      <c r="I259" s="56">
        <f t="shared" si="30"/>
        <v>0</v>
      </c>
      <c r="J259" s="57">
        <f t="shared" si="31"/>
        <v>0</v>
      </c>
    </row>
    <row r="260" spans="1:10" x14ac:dyDescent="0.25">
      <c r="A260" s="59"/>
      <c r="B260" s="46"/>
      <c r="C260" s="44"/>
      <c r="D260" s="44"/>
      <c r="E260" s="45"/>
      <c r="F260" s="42">
        <v>18</v>
      </c>
      <c r="G260" s="56">
        <f t="shared" si="28"/>
        <v>0</v>
      </c>
      <c r="H260" s="56">
        <f t="shared" si="29"/>
        <v>0</v>
      </c>
      <c r="I260" s="56">
        <f t="shared" si="30"/>
        <v>0</v>
      </c>
      <c r="J260" s="57">
        <f t="shared" si="31"/>
        <v>0</v>
      </c>
    </row>
    <row r="261" spans="1:10" x14ac:dyDescent="0.25">
      <c r="A261" s="59"/>
      <c r="B261" s="46"/>
      <c r="C261" s="44"/>
      <c r="D261" s="44"/>
      <c r="E261" s="45"/>
      <c r="F261" s="42">
        <v>18</v>
      </c>
      <c r="G261" s="56">
        <f t="shared" si="28"/>
        <v>0</v>
      </c>
      <c r="H261" s="56">
        <f t="shared" si="29"/>
        <v>0</v>
      </c>
      <c r="I261" s="56">
        <f t="shared" si="30"/>
        <v>0</v>
      </c>
      <c r="J261" s="57">
        <f t="shared" si="31"/>
        <v>0</v>
      </c>
    </row>
    <row r="262" spans="1:10" x14ac:dyDescent="0.25">
      <c r="A262" s="59"/>
      <c r="B262" s="46"/>
      <c r="C262" s="44"/>
      <c r="D262" s="44"/>
      <c r="E262" s="45"/>
      <c r="F262" s="42">
        <v>18</v>
      </c>
      <c r="G262" s="56">
        <f t="shared" si="28"/>
        <v>0</v>
      </c>
      <c r="H262" s="56">
        <f t="shared" si="29"/>
        <v>0</v>
      </c>
      <c r="I262" s="56">
        <f t="shared" si="30"/>
        <v>0</v>
      </c>
      <c r="J262" s="57">
        <f t="shared" si="31"/>
        <v>0</v>
      </c>
    </row>
    <row r="263" spans="1:10" x14ac:dyDescent="0.25">
      <c r="A263" s="59"/>
      <c r="B263" s="46"/>
      <c r="C263" s="44"/>
      <c r="D263" s="44"/>
      <c r="E263" s="45"/>
      <c r="F263" s="42">
        <v>18</v>
      </c>
      <c r="G263" s="56">
        <f t="shared" si="28"/>
        <v>0</v>
      </c>
      <c r="H263" s="56">
        <f t="shared" si="29"/>
        <v>0</v>
      </c>
      <c r="I263" s="56">
        <f t="shared" si="30"/>
        <v>0</v>
      </c>
      <c r="J263" s="57">
        <f t="shared" si="31"/>
        <v>0</v>
      </c>
    </row>
    <row r="264" spans="1:10" x14ac:dyDescent="0.25">
      <c r="A264" s="59"/>
      <c r="B264" s="46"/>
      <c r="C264" s="44"/>
      <c r="D264" s="44"/>
      <c r="E264" s="45"/>
      <c r="F264" s="42">
        <v>18</v>
      </c>
      <c r="G264" s="56">
        <f t="shared" si="28"/>
        <v>0</v>
      </c>
      <c r="H264" s="56">
        <f t="shared" si="29"/>
        <v>0</v>
      </c>
      <c r="I264" s="56">
        <f t="shared" si="30"/>
        <v>0</v>
      </c>
      <c r="J264" s="57">
        <f t="shared" si="31"/>
        <v>0</v>
      </c>
    </row>
    <row r="265" spans="1:10" x14ac:dyDescent="0.25">
      <c r="A265" s="59"/>
      <c r="B265" s="46"/>
      <c r="C265" s="44"/>
      <c r="D265" s="44"/>
      <c r="E265" s="45"/>
      <c r="F265" s="42">
        <v>18</v>
      </c>
      <c r="G265" s="56">
        <f t="shared" si="28"/>
        <v>0</v>
      </c>
      <c r="H265" s="56">
        <f t="shared" si="29"/>
        <v>0</v>
      </c>
      <c r="I265" s="56">
        <f t="shared" si="30"/>
        <v>0</v>
      </c>
      <c r="J265" s="57">
        <f t="shared" si="31"/>
        <v>0</v>
      </c>
    </row>
    <row r="266" spans="1:10" x14ac:dyDescent="0.25">
      <c r="A266" s="59"/>
      <c r="B266" s="46"/>
      <c r="C266" s="44"/>
      <c r="D266" s="44"/>
      <c r="E266" s="45"/>
      <c r="F266" s="42">
        <v>18</v>
      </c>
      <c r="G266" s="56">
        <f t="shared" si="28"/>
        <v>0</v>
      </c>
      <c r="H266" s="56">
        <f t="shared" si="29"/>
        <v>0</v>
      </c>
      <c r="I266" s="56">
        <f t="shared" si="30"/>
        <v>0</v>
      </c>
      <c r="J266" s="57">
        <f t="shared" si="31"/>
        <v>0</v>
      </c>
    </row>
    <row r="267" spans="1:10" x14ac:dyDescent="0.25">
      <c r="A267" s="59"/>
      <c r="B267" s="46"/>
      <c r="C267" s="44"/>
      <c r="D267" s="44"/>
      <c r="E267" s="45"/>
      <c r="F267" s="42">
        <v>18</v>
      </c>
      <c r="G267" s="56">
        <f t="shared" si="28"/>
        <v>0</v>
      </c>
      <c r="H267" s="56">
        <f t="shared" si="29"/>
        <v>0</v>
      </c>
      <c r="I267" s="56">
        <f t="shared" si="30"/>
        <v>0</v>
      </c>
      <c r="J267" s="57">
        <f t="shared" si="31"/>
        <v>0</v>
      </c>
    </row>
    <row r="268" spans="1:10" x14ac:dyDescent="0.25">
      <c r="A268" s="59"/>
      <c r="B268" s="46"/>
      <c r="C268" s="44"/>
      <c r="D268" s="44"/>
      <c r="E268" s="45"/>
      <c r="F268" s="42">
        <v>18</v>
      </c>
      <c r="G268" s="56">
        <f t="shared" ref="G268:G331" si="32">ROUND((E268*F268%)/2,)</f>
        <v>0</v>
      </c>
      <c r="H268" s="56">
        <f t="shared" ref="H268:H331" si="33">G268</f>
        <v>0</v>
      </c>
      <c r="I268" s="56">
        <f t="shared" ref="I268:I331" si="34">G268+H268</f>
        <v>0</v>
      </c>
      <c r="J268" s="57">
        <f t="shared" ref="J268:J331" si="35">E268+I268</f>
        <v>0</v>
      </c>
    </row>
    <row r="269" spans="1:10" x14ac:dyDescent="0.25">
      <c r="A269" s="59"/>
      <c r="B269" s="46"/>
      <c r="C269" s="44"/>
      <c r="D269" s="44"/>
      <c r="E269" s="45"/>
      <c r="F269" s="42">
        <v>18</v>
      </c>
      <c r="G269" s="56">
        <f t="shared" si="32"/>
        <v>0</v>
      </c>
      <c r="H269" s="56">
        <f t="shared" si="33"/>
        <v>0</v>
      </c>
      <c r="I269" s="56">
        <f t="shared" si="34"/>
        <v>0</v>
      </c>
      <c r="J269" s="57">
        <f t="shared" si="35"/>
        <v>0</v>
      </c>
    </row>
    <row r="270" spans="1:10" x14ac:dyDescent="0.25">
      <c r="A270" s="59"/>
      <c r="B270" s="46"/>
      <c r="C270" s="44"/>
      <c r="D270" s="44"/>
      <c r="E270" s="45"/>
      <c r="F270" s="42">
        <v>18</v>
      </c>
      <c r="G270" s="56">
        <f t="shared" si="32"/>
        <v>0</v>
      </c>
      <c r="H270" s="56">
        <f t="shared" si="33"/>
        <v>0</v>
      </c>
      <c r="I270" s="56">
        <f t="shared" si="34"/>
        <v>0</v>
      </c>
      <c r="J270" s="57">
        <f t="shared" si="35"/>
        <v>0</v>
      </c>
    </row>
    <row r="271" spans="1:10" x14ac:dyDescent="0.25">
      <c r="A271" s="59"/>
      <c r="B271" s="46"/>
      <c r="C271" s="44"/>
      <c r="D271" s="44"/>
      <c r="E271" s="45"/>
      <c r="F271" s="42">
        <v>18</v>
      </c>
      <c r="G271" s="56">
        <f t="shared" si="32"/>
        <v>0</v>
      </c>
      <c r="H271" s="56">
        <f t="shared" si="33"/>
        <v>0</v>
      </c>
      <c r="I271" s="56">
        <f t="shared" si="34"/>
        <v>0</v>
      </c>
      <c r="J271" s="57">
        <f t="shared" si="35"/>
        <v>0</v>
      </c>
    </row>
    <row r="272" spans="1:10" x14ac:dyDescent="0.25">
      <c r="A272" s="59"/>
      <c r="B272" s="46"/>
      <c r="C272" s="44"/>
      <c r="D272" s="44"/>
      <c r="E272" s="45"/>
      <c r="F272" s="42">
        <v>18</v>
      </c>
      <c r="G272" s="56">
        <f t="shared" si="32"/>
        <v>0</v>
      </c>
      <c r="H272" s="56">
        <f t="shared" si="33"/>
        <v>0</v>
      </c>
      <c r="I272" s="56">
        <f t="shared" si="34"/>
        <v>0</v>
      </c>
      <c r="J272" s="57">
        <f t="shared" si="35"/>
        <v>0</v>
      </c>
    </row>
    <row r="273" spans="1:10" x14ac:dyDescent="0.25">
      <c r="A273" s="59"/>
      <c r="B273" s="46"/>
      <c r="C273" s="44"/>
      <c r="D273" s="44"/>
      <c r="E273" s="45"/>
      <c r="F273" s="42">
        <v>18</v>
      </c>
      <c r="G273" s="56">
        <f t="shared" si="32"/>
        <v>0</v>
      </c>
      <c r="H273" s="56">
        <f t="shared" si="33"/>
        <v>0</v>
      </c>
      <c r="I273" s="56">
        <f t="shared" si="34"/>
        <v>0</v>
      </c>
      <c r="J273" s="57">
        <f t="shared" si="35"/>
        <v>0</v>
      </c>
    </row>
    <row r="274" spans="1:10" x14ac:dyDescent="0.25">
      <c r="A274" s="59"/>
      <c r="B274" s="46"/>
      <c r="C274" s="44"/>
      <c r="D274" s="44"/>
      <c r="E274" s="45"/>
      <c r="F274" s="42">
        <v>18</v>
      </c>
      <c r="G274" s="56">
        <f t="shared" si="32"/>
        <v>0</v>
      </c>
      <c r="H274" s="56">
        <f t="shared" si="33"/>
        <v>0</v>
      </c>
      <c r="I274" s="56">
        <f t="shared" si="34"/>
        <v>0</v>
      </c>
      <c r="J274" s="57">
        <f t="shared" si="35"/>
        <v>0</v>
      </c>
    </row>
    <row r="275" spans="1:10" x14ac:dyDescent="0.25">
      <c r="A275" s="59"/>
      <c r="B275" s="46"/>
      <c r="C275" s="44"/>
      <c r="D275" s="44"/>
      <c r="E275" s="45"/>
      <c r="F275" s="42">
        <v>18</v>
      </c>
      <c r="G275" s="56">
        <f t="shared" si="32"/>
        <v>0</v>
      </c>
      <c r="H275" s="56">
        <f t="shared" si="33"/>
        <v>0</v>
      </c>
      <c r="I275" s="56">
        <f t="shared" si="34"/>
        <v>0</v>
      </c>
      <c r="J275" s="57">
        <f t="shared" si="35"/>
        <v>0</v>
      </c>
    </row>
    <row r="276" spans="1:10" x14ac:dyDescent="0.25">
      <c r="A276" s="59"/>
      <c r="B276" s="46"/>
      <c r="C276" s="44"/>
      <c r="D276" s="44"/>
      <c r="E276" s="45"/>
      <c r="F276" s="42">
        <v>18</v>
      </c>
      <c r="G276" s="56">
        <f t="shared" si="32"/>
        <v>0</v>
      </c>
      <c r="H276" s="56">
        <f t="shared" si="33"/>
        <v>0</v>
      </c>
      <c r="I276" s="56">
        <f t="shared" si="34"/>
        <v>0</v>
      </c>
      <c r="J276" s="57">
        <f t="shared" si="35"/>
        <v>0</v>
      </c>
    </row>
    <row r="277" spans="1:10" x14ac:dyDescent="0.25">
      <c r="A277" s="59"/>
      <c r="B277" s="46"/>
      <c r="C277" s="44"/>
      <c r="D277" s="44"/>
      <c r="E277" s="45"/>
      <c r="F277" s="42">
        <v>18</v>
      </c>
      <c r="G277" s="56">
        <f t="shared" si="32"/>
        <v>0</v>
      </c>
      <c r="H277" s="56">
        <f t="shared" si="33"/>
        <v>0</v>
      </c>
      <c r="I277" s="56">
        <f t="shared" si="34"/>
        <v>0</v>
      </c>
      <c r="J277" s="57">
        <f t="shared" si="35"/>
        <v>0</v>
      </c>
    </row>
    <row r="278" spans="1:10" x14ac:dyDescent="0.25">
      <c r="A278" s="59"/>
      <c r="B278" s="46"/>
      <c r="C278" s="44"/>
      <c r="D278" s="44"/>
      <c r="E278" s="45"/>
      <c r="F278" s="42">
        <v>18</v>
      </c>
      <c r="G278" s="56">
        <f t="shared" si="32"/>
        <v>0</v>
      </c>
      <c r="H278" s="56">
        <f t="shared" si="33"/>
        <v>0</v>
      </c>
      <c r="I278" s="56">
        <f t="shared" si="34"/>
        <v>0</v>
      </c>
      <c r="J278" s="57">
        <f t="shared" si="35"/>
        <v>0</v>
      </c>
    </row>
    <row r="279" spans="1:10" x14ac:dyDescent="0.25">
      <c r="A279" s="59"/>
      <c r="B279" s="46"/>
      <c r="C279" s="44"/>
      <c r="D279" s="44"/>
      <c r="E279" s="45"/>
      <c r="F279" s="42">
        <v>18</v>
      </c>
      <c r="G279" s="56">
        <f t="shared" si="32"/>
        <v>0</v>
      </c>
      <c r="H279" s="56">
        <f t="shared" si="33"/>
        <v>0</v>
      </c>
      <c r="I279" s="56">
        <f t="shared" si="34"/>
        <v>0</v>
      </c>
      <c r="J279" s="57">
        <f t="shared" si="35"/>
        <v>0</v>
      </c>
    </row>
    <row r="280" spans="1:10" x14ac:dyDescent="0.25">
      <c r="A280" s="59"/>
      <c r="B280" s="46"/>
      <c r="C280" s="44"/>
      <c r="D280" s="44"/>
      <c r="E280" s="45"/>
      <c r="F280" s="42">
        <v>18</v>
      </c>
      <c r="G280" s="56">
        <f t="shared" si="32"/>
        <v>0</v>
      </c>
      <c r="H280" s="56">
        <f t="shared" si="33"/>
        <v>0</v>
      </c>
      <c r="I280" s="56">
        <f t="shared" si="34"/>
        <v>0</v>
      </c>
      <c r="J280" s="57">
        <f t="shared" si="35"/>
        <v>0</v>
      </c>
    </row>
    <row r="281" spans="1:10" x14ac:dyDescent="0.25">
      <c r="A281" s="59"/>
      <c r="B281" s="46"/>
      <c r="C281" s="44"/>
      <c r="D281" s="44"/>
      <c r="E281" s="45"/>
      <c r="F281" s="42">
        <v>18</v>
      </c>
      <c r="G281" s="56">
        <f t="shared" si="32"/>
        <v>0</v>
      </c>
      <c r="H281" s="56">
        <f t="shared" si="33"/>
        <v>0</v>
      </c>
      <c r="I281" s="56">
        <f t="shared" si="34"/>
        <v>0</v>
      </c>
      <c r="J281" s="57">
        <f t="shared" si="35"/>
        <v>0</v>
      </c>
    </row>
    <row r="282" spans="1:10" x14ac:dyDescent="0.25">
      <c r="A282" s="59"/>
      <c r="B282" s="46"/>
      <c r="C282" s="44"/>
      <c r="D282" s="44"/>
      <c r="E282" s="45"/>
      <c r="F282" s="42">
        <v>18</v>
      </c>
      <c r="G282" s="56">
        <f t="shared" si="32"/>
        <v>0</v>
      </c>
      <c r="H282" s="56">
        <f t="shared" si="33"/>
        <v>0</v>
      </c>
      <c r="I282" s="56">
        <f t="shared" si="34"/>
        <v>0</v>
      </c>
      <c r="J282" s="57">
        <f t="shared" si="35"/>
        <v>0</v>
      </c>
    </row>
    <row r="283" spans="1:10" x14ac:dyDescent="0.25">
      <c r="A283" s="59"/>
      <c r="B283" s="46"/>
      <c r="C283" s="44"/>
      <c r="D283" s="44"/>
      <c r="E283" s="45"/>
      <c r="F283" s="42">
        <v>18</v>
      </c>
      <c r="G283" s="56">
        <f t="shared" si="32"/>
        <v>0</v>
      </c>
      <c r="H283" s="56">
        <f t="shared" si="33"/>
        <v>0</v>
      </c>
      <c r="I283" s="56">
        <f t="shared" si="34"/>
        <v>0</v>
      </c>
      <c r="J283" s="57">
        <f t="shared" si="35"/>
        <v>0</v>
      </c>
    </row>
    <row r="284" spans="1:10" x14ac:dyDescent="0.25">
      <c r="A284" s="59"/>
      <c r="B284" s="46"/>
      <c r="C284" s="44"/>
      <c r="D284" s="44"/>
      <c r="E284" s="45"/>
      <c r="F284" s="42">
        <v>18</v>
      </c>
      <c r="G284" s="56">
        <f t="shared" si="32"/>
        <v>0</v>
      </c>
      <c r="H284" s="56">
        <f t="shared" si="33"/>
        <v>0</v>
      </c>
      <c r="I284" s="56">
        <f t="shared" si="34"/>
        <v>0</v>
      </c>
      <c r="J284" s="57">
        <f t="shared" si="35"/>
        <v>0</v>
      </c>
    </row>
    <row r="285" spans="1:10" x14ac:dyDescent="0.25">
      <c r="A285" s="59"/>
      <c r="B285" s="46"/>
      <c r="C285" s="44"/>
      <c r="D285" s="44"/>
      <c r="E285" s="45"/>
      <c r="F285" s="42">
        <v>18</v>
      </c>
      <c r="G285" s="56">
        <f t="shared" si="32"/>
        <v>0</v>
      </c>
      <c r="H285" s="56">
        <f t="shared" si="33"/>
        <v>0</v>
      </c>
      <c r="I285" s="56">
        <f t="shared" si="34"/>
        <v>0</v>
      </c>
      <c r="J285" s="57">
        <f t="shared" si="35"/>
        <v>0</v>
      </c>
    </row>
    <row r="286" spans="1:10" x14ac:dyDescent="0.25">
      <c r="A286" s="59"/>
      <c r="B286" s="46"/>
      <c r="C286" s="44"/>
      <c r="D286" s="44"/>
      <c r="E286" s="45"/>
      <c r="F286" s="42">
        <v>18</v>
      </c>
      <c r="G286" s="56">
        <f t="shared" si="32"/>
        <v>0</v>
      </c>
      <c r="H286" s="56">
        <f t="shared" si="33"/>
        <v>0</v>
      </c>
      <c r="I286" s="56">
        <f t="shared" si="34"/>
        <v>0</v>
      </c>
      <c r="J286" s="57">
        <f t="shared" si="35"/>
        <v>0</v>
      </c>
    </row>
    <row r="287" spans="1:10" x14ac:dyDescent="0.25">
      <c r="A287" s="59"/>
      <c r="B287" s="46"/>
      <c r="C287" s="44"/>
      <c r="D287" s="44"/>
      <c r="E287" s="45"/>
      <c r="F287" s="42">
        <v>18</v>
      </c>
      <c r="G287" s="56">
        <f t="shared" si="32"/>
        <v>0</v>
      </c>
      <c r="H287" s="56">
        <f t="shared" si="33"/>
        <v>0</v>
      </c>
      <c r="I287" s="56">
        <f t="shared" si="34"/>
        <v>0</v>
      </c>
      <c r="J287" s="57">
        <f t="shared" si="35"/>
        <v>0</v>
      </c>
    </row>
    <row r="288" spans="1:10" x14ac:dyDescent="0.25">
      <c r="A288" s="59"/>
      <c r="B288" s="46"/>
      <c r="C288" s="44"/>
      <c r="D288" s="44"/>
      <c r="E288" s="45"/>
      <c r="F288" s="42">
        <v>18</v>
      </c>
      <c r="G288" s="56">
        <f t="shared" si="32"/>
        <v>0</v>
      </c>
      <c r="H288" s="56">
        <f t="shared" si="33"/>
        <v>0</v>
      </c>
      <c r="I288" s="56">
        <f t="shared" si="34"/>
        <v>0</v>
      </c>
      <c r="J288" s="57">
        <f t="shared" si="35"/>
        <v>0</v>
      </c>
    </row>
    <row r="289" spans="1:10" x14ac:dyDescent="0.25">
      <c r="A289" s="59"/>
      <c r="B289" s="46"/>
      <c r="C289" s="44"/>
      <c r="D289" s="44"/>
      <c r="E289" s="45"/>
      <c r="F289" s="42">
        <v>18</v>
      </c>
      <c r="G289" s="56">
        <f t="shared" si="32"/>
        <v>0</v>
      </c>
      <c r="H289" s="56">
        <f t="shared" si="33"/>
        <v>0</v>
      </c>
      <c r="I289" s="56">
        <f t="shared" si="34"/>
        <v>0</v>
      </c>
      <c r="J289" s="57">
        <f t="shared" si="35"/>
        <v>0</v>
      </c>
    </row>
    <row r="290" spans="1:10" x14ac:dyDescent="0.25">
      <c r="A290" s="59"/>
      <c r="B290" s="46"/>
      <c r="C290" s="44"/>
      <c r="D290" s="44"/>
      <c r="E290" s="45"/>
      <c r="F290" s="42">
        <v>18</v>
      </c>
      <c r="G290" s="56">
        <f t="shared" si="32"/>
        <v>0</v>
      </c>
      <c r="H290" s="56">
        <f t="shared" si="33"/>
        <v>0</v>
      </c>
      <c r="I290" s="56">
        <f t="shared" si="34"/>
        <v>0</v>
      </c>
      <c r="J290" s="57">
        <f t="shared" si="35"/>
        <v>0</v>
      </c>
    </row>
    <row r="291" spans="1:10" x14ac:dyDescent="0.25">
      <c r="A291" s="59"/>
      <c r="B291" s="46"/>
      <c r="C291" s="44"/>
      <c r="D291" s="44"/>
      <c r="E291" s="45"/>
      <c r="F291" s="42">
        <v>18</v>
      </c>
      <c r="G291" s="56">
        <f t="shared" si="32"/>
        <v>0</v>
      </c>
      <c r="H291" s="56">
        <f t="shared" si="33"/>
        <v>0</v>
      </c>
      <c r="I291" s="56">
        <f t="shared" si="34"/>
        <v>0</v>
      </c>
      <c r="J291" s="57">
        <f t="shared" si="35"/>
        <v>0</v>
      </c>
    </row>
    <row r="292" spans="1:10" x14ac:dyDescent="0.25">
      <c r="A292" s="59"/>
      <c r="B292" s="46"/>
      <c r="C292" s="44"/>
      <c r="D292" s="44"/>
      <c r="E292" s="45"/>
      <c r="F292" s="42">
        <v>18</v>
      </c>
      <c r="G292" s="56">
        <f t="shared" si="32"/>
        <v>0</v>
      </c>
      <c r="H292" s="56">
        <f t="shared" si="33"/>
        <v>0</v>
      </c>
      <c r="I292" s="56">
        <f t="shared" si="34"/>
        <v>0</v>
      </c>
      <c r="J292" s="57">
        <f t="shared" si="35"/>
        <v>0</v>
      </c>
    </row>
    <row r="293" spans="1:10" x14ac:dyDescent="0.25">
      <c r="A293" s="59"/>
      <c r="B293" s="46"/>
      <c r="C293" s="44"/>
      <c r="D293" s="44"/>
      <c r="E293" s="45"/>
      <c r="F293" s="42">
        <v>18</v>
      </c>
      <c r="G293" s="56">
        <f t="shared" si="32"/>
        <v>0</v>
      </c>
      <c r="H293" s="56">
        <f t="shared" si="33"/>
        <v>0</v>
      </c>
      <c r="I293" s="56">
        <f t="shared" si="34"/>
        <v>0</v>
      </c>
      <c r="J293" s="57">
        <f t="shared" si="35"/>
        <v>0</v>
      </c>
    </row>
    <row r="294" spans="1:10" x14ac:dyDescent="0.25">
      <c r="A294" s="59"/>
      <c r="B294" s="46"/>
      <c r="C294" s="44"/>
      <c r="D294" s="44"/>
      <c r="E294" s="45"/>
      <c r="F294" s="42">
        <v>18</v>
      </c>
      <c r="G294" s="56">
        <f t="shared" si="32"/>
        <v>0</v>
      </c>
      <c r="H294" s="56">
        <f t="shared" si="33"/>
        <v>0</v>
      </c>
      <c r="I294" s="56">
        <f t="shared" si="34"/>
        <v>0</v>
      </c>
      <c r="J294" s="57">
        <f t="shared" si="35"/>
        <v>0</v>
      </c>
    </row>
    <row r="295" spans="1:10" x14ac:dyDescent="0.25">
      <c r="A295" s="59"/>
      <c r="B295" s="46"/>
      <c r="C295" s="44"/>
      <c r="D295" s="44"/>
      <c r="E295" s="45"/>
      <c r="F295" s="42">
        <v>18</v>
      </c>
      <c r="G295" s="56">
        <f t="shared" si="32"/>
        <v>0</v>
      </c>
      <c r="H295" s="56">
        <f t="shared" si="33"/>
        <v>0</v>
      </c>
      <c r="I295" s="56">
        <f t="shared" si="34"/>
        <v>0</v>
      </c>
      <c r="J295" s="57">
        <f t="shared" si="35"/>
        <v>0</v>
      </c>
    </row>
    <row r="296" spans="1:10" x14ac:dyDescent="0.25">
      <c r="A296" s="59"/>
      <c r="B296" s="46"/>
      <c r="C296" s="44"/>
      <c r="D296" s="44"/>
      <c r="E296" s="45"/>
      <c r="F296" s="42">
        <v>18</v>
      </c>
      <c r="G296" s="56">
        <f t="shared" si="32"/>
        <v>0</v>
      </c>
      <c r="H296" s="56">
        <f t="shared" si="33"/>
        <v>0</v>
      </c>
      <c r="I296" s="56">
        <f t="shared" si="34"/>
        <v>0</v>
      </c>
      <c r="J296" s="57">
        <f t="shared" si="35"/>
        <v>0</v>
      </c>
    </row>
    <row r="297" spans="1:10" x14ac:dyDescent="0.25">
      <c r="A297" s="59"/>
      <c r="B297" s="46"/>
      <c r="C297" s="44"/>
      <c r="D297" s="44"/>
      <c r="E297" s="45"/>
      <c r="F297" s="42">
        <v>18</v>
      </c>
      <c r="G297" s="56">
        <f t="shared" si="32"/>
        <v>0</v>
      </c>
      <c r="H297" s="56">
        <f t="shared" si="33"/>
        <v>0</v>
      </c>
      <c r="I297" s="56">
        <f t="shared" si="34"/>
        <v>0</v>
      </c>
      <c r="J297" s="57">
        <f t="shared" si="35"/>
        <v>0</v>
      </c>
    </row>
    <row r="298" spans="1:10" x14ac:dyDescent="0.25">
      <c r="A298" s="59"/>
      <c r="B298" s="46"/>
      <c r="C298" s="44"/>
      <c r="D298" s="44"/>
      <c r="E298" s="45"/>
      <c r="F298" s="42">
        <v>18</v>
      </c>
      <c r="G298" s="56">
        <f t="shared" si="32"/>
        <v>0</v>
      </c>
      <c r="H298" s="56">
        <f t="shared" si="33"/>
        <v>0</v>
      </c>
      <c r="I298" s="56">
        <f t="shared" si="34"/>
        <v>0</v>
      </c>
      <c r="J298" s="57">
        <f t="shared" si="35"/>
        <v>0</v>
      </c>
    </row>
    <row r="299" spans="1:10" x14ac:dyDescent="0.25">
      <c r="A299" s="59"/>
      <c r="B299" s="46"/>
      <c r="C299" s="44"/>
      <c r="D299" s="44"/>
      <c r="E299" s="45"/>
      <c r="F299" s="42">
        <v>18</v>
      </c>
      <c r="G299" s="56">
        <f t="shared" si="32"/>
        <v>0</v>
      </c>
      <c r="H299" s="56">
        <f t="shared" si="33"/>
        <v>0</v>
      </c>
      <c r="I299" s="56">
        <f t="shared" si="34"/>
        <v>0</v>
      </c>
      <c r="J299" s="57">
        <f t="shared" si="35"/>
        <v>0</v>
      </c>
    </row>
    <row r="300" spans="1:10" x14ac:dyDescent="0.25">
      <c r="A300" s="59"/>
      <c r="B300" s="46"/>
      <c r="C300" s="44"/>
      <c r="D300" s="44"/>
      <c r="E300" s="45"/>
      <c r="F300" s="42">
        <v>18</v>
      </c>
      <c r="G300" s="56">
        <f t="shared" si="32"/>
        <v>0</v>
      </c>
      <c r="H300" s="56">
        <f t="shared" si="33"/>
        <v>0</v>
      </c>
      <c r="I300" s="56">
        <f t="shared" si="34"/>
        <v>0</v>
      </c>
      <c r="J300" s="57">
        <f t="shared" si="35"/>
        <v>0</v>
      </c>
    </row>
    <row r="301" spans="1:10" x14ac:dyDescent="0.25">
      <c r="A301" s="59"/>
      <c r="B301" s="46"/>
      <c r="C301" s="44"/>
      <c r="D301" s="44"/>
      <c r="E301" s="45"/>
      <c r="F301" s="42">
        <v>18</v>
      </c>
      <c r="G301" s="56">
        <f t="shared" si="32"/>
        <v>0</v>
      </c>
      <c r="H301" s="56">
        <f t="shared" si="33"/>
        <v>0</v>
      </c>
      <c r="I301" s="56">
        <f t="shared" si="34"/>
        <v>0</v>
      </c>
      <c r="J301" s="57">
        <f t="shared" si="35"/>
        <v>0</v>
      </c>
    </row>
    <row r="302" spans="1:10" x14ac:dyDescent="0.25">
      <c r="A302" s="59"/>
      <c r="B302" s="46"/>
      <c r="C302" s="44"/>
      <c r="D302" s="44"/>
      <c r="E302" s="45"/>
      <c r="F302" s="42">
        <v>18</v>
      </c>
      <c r="G302" s="56">
        <f t="shared" si="32"/>
        <v>0</v>
      </c>
      <c r="H302" s="56">
        <f t="shared" si="33"/>
        <v>0</v>
      </c>
      <c r="I302" s="56">
        <f t="shared" si="34"/>
        <v>0</v>
      </c>
      <c r="J302" s="57">
        <f t="shared" si="35"/>
        <v>0</v>
      </c>
    </row>
    <row r="303" spans="1:10" x14ac:dyDescent="0.25">
      <c r="A303" s="59"/>
      <c r="B303" s="46"/>
      <c r="C303" s="44"/>
      <c r="D303" s="44"/>
      <c r="E303" s="45"/>
      <c r="F303" s="42">
        <v>18</v>
      </c>
      <c r="G303" s="56">
        <f t="shared" si="32"/>
        <v>0</v>
      </c>
      <c r="H303" s="56">
        <f t="shared" si="33"/>
        <v>0</v>
      </c>
      <c r="I303" s="56">
        <f t="shared" si="34"/>
        <v>0</v>
      </c>
      <c r="J303" s="57">
        <f t="shared" si="35"/>
        <v>0</v>
      </c>
    </row>
    <row r="304" spans="1:10" x14ac:dyDescent="0.25">
      <c r="A304" s="59"/>
      <c r="B304" s="46"/>
      <c r="C304" s="44"/>
      <c r="D304" s="44"/>
      <c r="E304" s="45"/>
      <c r="F304" s="42">
        <v>18</v>
      </c>
      <c r="G304" s="56">
        <f t="shared" si="32"/>
        <v>0</v>
      </c>
      <c r="H304" s="56">
        <f t="shared" si="33"/>
        <v>0</v>
      </c>
      <c r="I304" s="56">
        <f t="shared" si="34"/>
        <v>0</v>
      </c>
      <c r="J304" s="57">
        <f t="shared" si="35"/>
        <v>0</v>
      </c>
    </row>
    <row r="305" spans="1:10" x14ac:dyDescent="0.25">
      <c r="A305" s="59"/>
      <c r="B305" s="46"/>
      <c r="C305" s="44"/>
      <c r="D305" s="44"/>
      <c r="E305" s="45"/>
      <c r="F305" s="42">
        <v>18</v>
      </c>
      <c r="G305" s="56">
        <f t="shared" si="32"/>
        <v>0</v>
      </c>
      <c r="H305" s="56">
        <f t="shared" si="33"/>
        <v>0</v>
      </c>
      <c r="I305" s="56">
        <f t="shared" si="34"/>
        <v>0</v>
      </c>
      <c r="J305" s="57">
        <f t="shared" si="35"/>
        <v>0</v>
      </c>
    </row>
    <row r="306" spans="1:10" x14ac:dyDescent="0.25">
      <c r="A306" s="59"/>
      <c r="B306" s="46"/>
      <c r="C306" s="44"/>
      <c r="D306" s="44"/>
      <c r="E306" s="45"/>
      <c r="F306" s="42">
        <v>18</v>
      </c>
      <c r="G306" s="56">
        <f t="shared" si="32"/>
        <v>0</v>
      </c>
      <c r="H306" s="56">
        <f t="shared" si="33"/>
        <v>0</v>
      </c>
      <c r="I306" s="56">
        <f t="shared" si="34"/>
        <v>0</v>
      </c>
      <c r="J306" s="57">
        <f t="shared" si="35"/>
        <v>0</v>
      </c>
    </row>
    <row r="307" spans="1:10" x14ac:dyDescent="0.25">
      <c r="A307" s="59"/>
      <c r="B307" s="46"/>
      <c r="C307" s="44"/>
      <c r="D307" s="44"/>
      <c r="E307" s="45"/>
      <c r="F307" s="42">
        <v>18</v>
      </c>
      <c r="G307" s="56">
        <f t="shared" si="32"/>
        <v>0</v>
      </c>
      <c r="H307" s="56">
        <f t="shared" si="33"/>
        <v>0</v>
      </c>
      <c r="I307" s="56">
        <f t="shared" si="34"/>
        <v>0</v>
      </c>
      <c r="J307" s="57">
        <f t="shared" si="35"/>
        <v>0</v>
      </c>
    </row>
    <row r="308" spans="1:10" x14ac:dyDescent="0.25">
      <c r="A308" s="59"/>
      <c r="B308" s="46"/>
      <c r="C308" s="44"/>
      <c r="D308" s="44"/>
      <c r="E308" s="45"/>
      <c r="F308" s="42">
        <v>18</v>
      </c>
      <c r="G308" s="56">
        <f t="shared" si="32"/>
        <v>0</v>
      </c>
      <c r="H308" s="56">
        <f t="shared" si="33"/>
        <v>0</v>
      </c>
      <c r="I308" s="56">
        <f t="shared" si="34"/>
        <v>0</v>
      </c>
      <c r="J308" s="57">
        <f t="shared" si="35"/>
        <v>0</v>
      </c>
    </row>
    <row r="309" spans="1:10" x14ac:dyDescent="0.25">
      <c r="A309" s="59"/>
      <c r="B309" s="46"/>
      <c r="C309" s="44"/>
      <c r="D309" s="44"/>
      <c r="E309" s="45"/>
      <c r="F309" s="42">
        <v>18</v>
      </c>
      <c r="G309" s="56">
        <f t="shared" si="32"/>
        <v>0</v>
      </c>
      <c r="H309" s="56">
        <f t="shared" si="33"/>
        <v>0</v>
      </c>
      <c r="I309" s="56">
        <f t="shared" si="34"/>
        <v>0</v>
      </c>
      <c r="J309" s="57">
        <f t="shared" si="35"/>
        <v>0</v>
      </c>
    </row>
    <row r="310" spans="1:10" x14ac:dyDescent="0.25">
      <c r="A310" s="59"/>
      <c r="B310" s="46"/>
      <c r="C310" s="44"/>
      <c r="D310" s="44"/>
      <c r="E310" s="45"/>
      <c r="F310" s="42">
        <v>18</v>
      </c>
      <c r="G310" s="56">
        <f t="shared" si="32"/>
        <v>0</v>
      </c>
      <c r="H310" s="56">
        <f t="shared" si="33"/>
        <v>0</v>
      </c>
      <c r="I310" s="56">
        <f t="shared" si="34"/>
        <v>0</v>
      </c>
      <c r="J310" s="57">
        <f t="shared" si="35"/>
        <v>0</v>
      </c>
    </row>
    <row r="311" spans="1:10" x14ac:dyDescent="0.25">
      <c r="A311" s="59"/>
      <c r="B311" s="46"/>
      <c r="C311" s="44"/>
      <c r="D311" s="44"/>
      <c r="E311" s="45"/>
      <c r="F311" s="42">
        <v>18</v>
      </c>
      <c r="G311" s="56">
        <f t="shared" si="32"/>
        <v>0</v>
      </c>
      <c r="H311" s="56">
        <f t="shared" si="33"/>
        <v>0</v>
      </c>
      <c r="I311" s="56">
        <f t="shared" si="34"/>
        <v>0</v>
      </c>
      <c r="J311" s="57">
        <f t="shared" si="35"/>
        <v>0</v>
      </c>
    </row>
    <row r="312" spans="1:10" x14ac:dyDescent="0.25">
      <c r="A312" s="59"/>
      <c r="B312" s="46"/>
      <c r="C312" s="44"/>
      <c r="D312" s="44"/>
      <c r="E312" s="45"/>
      <c r="F312" s="42">
        <v>18</v>
      </c>
      <c r="G312" s="56">
        <f t="shared" si="32"/>
        <v>0</v>
      </c>
      <c r="H312" s="56">
        <f t="shared" si="33"/>
        <v>0</v>
      </c>
      <c r="I312" s="56">
        <f t="shared" si="34"/>
        <v>0</v>
      </c>
      <c r="J312" s="57">
        <f t="shared" si="35"/>
        <v>0</v>
      </c>
    </row>
    <row r="313" spans="1:10" x14ac:dyDescent="0.25">
      <c r="A313" s="59"/>
      <c r="B313" s="46"/>
      <c r="C313" s="44"/>
      <c r="D313" s="44"/>
      <c r="E313" s="45"/>
      <c r="F313" s="42">
        <v>18</v>
      </c>
      <c r="G313" s="56">
        <f t="shared" si="32"/>
        <v>0</v>
      </c>
      <c r="H313" s="56">
        <f t="shared" si="33"/>
        <v>0</v>
      </c>
      <c r="I313" s="56">
        <f t="shared" si="34"/>
        <v>0</v>
      </c>
      <c r="J313" s="57">
        <f t="shared" si="35"/>
        <v>0</v>
      </c>
    </row>
    <row r="314" spans="1:10" x14ac:dyDescent="0.25">
      <c r="A314" s="59"/>
      <c r="B314" s="46"/>
      <c r="C314" s="44"/>
      <c r="D314" s="44"/>
      <c r="E314" s="45"/>
      <c r="F314" s="42">
        <v>18</v>
      </c>
      <c r="G314" s="56">
        <f t="shared" si="32"/>
        <v>0</v>
      </c>
      <c r="H314" s="56">
        <f t="shared" si="33"/>
        <v>0</v>
      </c>
      <c r="I314" s="56">
        <f t="shared" si="34"/>
        <v>0</v>
      </c>
      <c r="J314" s="57">
        <f t="shared" si="35"/>
        <v>0</v>
      </c>
    </row>
    <row r="315" spans="1:10" x14ac:dyDescent="0.25">
      <c r="A315" s="59"/>
      <c r="B315" s="46"/>
      <c r="C315" s="44"/>
      <c r="D315" s="44"/>
      <c r="E315" s="45"/>
      <c r="F315" s="42">
        <v>18</v>
      </c>
      <c r="G315" s="56">
        <f t="shared" si="32"/>
        <v>0</v>
      </c>
      <c r="H315" s="56">
        <f t="shared" si="33"/>
        <v>0</v>
      </c>
      <c r="I315" s="56">
        <f t="shared" si="34"/>
        <v>0</v>
      </c>
      <c r="J315" s="57">
        <f t="shared" si="35"/>
        <v>0</v>
      </c>
    </row>
    <row r="316" spans="1:10" x14ac:dyDescent="0.25">
      <c r="A316" s="59"/>
      <c r="B316" s="46"/>
      <c r="C316" s="44"/>
      <c r="D316" s="44"/>
      <c r="E316" s="45"/>
      <c r="F316" s="42">
        <v>18</v>
      </c>
      <c r="G316" s="56">
        <f t="shared" si="32"/>
        <v>0</v>
      </c>
      <c r="H316" s="56">
        <f t="shared" si="33"/>
        <v>0</v>
      </c>
      <c r="I316" s="56">
        <f t="shared" si="34"/>
        <v>0</v>
      </c>
      <c r="J316" s="57">
        <f t="shared" si="35"/>
        <v>0</v>
      </c>
    </row>
    <row r="317" spans="1:10" x14ac:dyDescent="0.25">
      <c r="A317" s="59"/>
      <c r="B317" s="46"/>
      <c r="C317" s="44"/>
      <c r="D317" s="44"/>
      <c r="E317" s="45"/>
      <c r="F317" s="42">
        <v>18</v>
      </c>
      <c r="G317" s="56">
        <f t="shared" si="32"/>
        <v>0</v>
      </c>
      <c r="H317" s="56">
        <f t="shared" si="33"/>
        <v>0</v>
      </c>
      <c r="I317" s="56">
        <f t="shared" si="34"/>
        <v>0</v>
      </c>
      <c r="J317" s="57">
        <f t="shared" si="35"/>
        <v>0</v>
      </c>
    </row>
    <row r="318" spans="1:10" x14ac:dyDescent="0.25">
      <c r="A318" s="59"/>
      <c r="B318" s="46"/>
      <c r="C318" s="44"/>
      <c r="D318" s="44"/>
      <c r="E318" s="45"/>
      <c r="F318" s="42">
        <v>18</v>
      </c>
      <c r="G318" s="56">
        <f t="shared" si="32"/>
        <v>0</v>
      </c>
      <c r="H318" s="56">
        <f t="shared" si="33"/>
        <v>0</v>
      </c>
      <c r="I318" s="56">
        <f t="shared" si="34"/>
        <v>0</v>
      </c>
      <c r="J318" s="57">
        <f t="shared" si="35"/>
        <v>0</v>
      </c>
    </row>
    <row r="319" spans="1:10" x14ac:dyDescent="0.25">
      <c r="A319" s="59"/>
      <c r="B319" s="46"/>
      <c r="C319" s="44"/>
      <c r="D319" s="44"/>
      <c r="E319" s="45"/>
      <c r="F319" s="42">
        <v>18</v>
      </c>
      <c r="G319" s="56">
        <f t="shared" si="32"/>
        <v>0</v>
      </c>
      <c r="H319" s="56">
        <f t="shared" si="33"/>
        <v>0</v>
      </c>
      <c r="I319" s="56">
        <f t="shared" si="34"/>
        <v>0</v>
      </c>
      <c r="J319" s="57">
        <f t="shared" si="35"/>
        <v>0</v>
      </c>
    </row>
    <row r="320" spans="1:10" x14ac:dyDescent="0.25">
      <c r="A320" s="59"/>
      <c r="B320" s="46"/>
      <c r="C320" s="44"/>
      <c r="D320" s="44"/>
      <c r="E320" s="45"/>
      <c r="F320" s="42">
        <v>18</v>
      </c>
      <c r="G320" s="56">
        <f t="shared" si="32"/>
        <v>0</v>
      </c>
      <c r="H320" s="56">
        <f t="shared" si="33"/>
        <v>0</v>
      </c>
      <c r="I320" s="56">
        <f t="shared" si="34"/>
        <v>0</v>
      </c>
      <c r="J320" s="57">
        <f t="shared" si="35"/>
        <v>0</v>
      </c>
    </row>
    <row r="321" spans="1:10" x14ac:dyDescent="0.25">
      <c r="A321" s="59"/>
      <c r="B321" s="46"/>
      <c r="C321" s="44"/>
      <c r="D321" s="44"/>
      <c r="E321" s="45"/>
      <c r="F321" s="42">
        <v>18</v>
      </c>
      <c r="G321" s="56">
        <f t="shared" si="32"/>
        <v>0</v>
      </c>
      <c r="H321" s="56">
        <f t="shared" si="33"/>
        <v>0</v>
      </c>
      <c r="I321" s="56">
        <f t="shared" si="34"/>
        <v>0</v>
      </c>
      <c r="J321" s="57">
        <f t="shared" si="35"/>
        <v>0</v>
      </c>
    </row>
    <row r="322" spans="1:10" x14ac:dyDescent="0.25">
      <c r="A322" s="59"/>
      <c r="B322" s="46"/>
      <c r="C322" s="44"/>
      <c r="D322" s="44"/>
      <c r="E322" s="45"/>
      <c r="F322" s="42">
        <v>18</v>
      </c>
      <c r="G322" s="56">
        <f t="shared" si="32"/>
        <v>0</v>
      </c>
      <c r="H322" s="56">
        <f t="shared" si="33"/>
        <v>0</v>
      </c>
      <c r="I322" s="56">
        <f t="shared" si="34"/>
        <v>0</v>
      </c>
      <c r="J322" s="57">
        <f t="shared" si="35"/>
        <v>0</v>
      </c>
    </row>
    <row r="323" spans="1:10" x14ac:dyDescent="0.25">
      <c r="A323" s="59"/>
      <c r="B323" s="46"/>
      <c r="C323" s="44"/>
      <c r="D323" s="44"/>
      <c r="E323" s="45"/>
      <c r="F323" s="42">
        <v>18</v>
      </c>
      <c r="G323" s="56">
        <f t="shared" si="32"/>
        <v>0</v>
      </c>
      <c r="H323" s="56">
        <f t="shared" si="33"/>
        <v>0</v>
      </c>
      <c r="I323" s="56">
        <f t="shared" si="34"/>
        <v>0</v>
      </c>
      <c r="J323" s="57">
        <f t="shared" si="35"/>
        <v>0</v>
      </c>
    </row>
    <row r="324" spans="1:10" x14ac:dyDescent="0.25">
      <c r="A324" s="59"/>
      <c r="B324" s="46"/>
      <c r="C324" s="44"/>
      <c r="D324" s="44"/>
      <c r="E324" s="45"/>
      <c r="F324" s="42">
        <v>18</v>
      </c>
      <c r="G324" s="56">
        <f t="shared" si="32"/>
        <v>0</v>
      </c>
      <c r="H324" s="56">
        <f t="shared" si="33"/>
        <v>0</v>
      </c>
      <c r="I324" s="56">
        <f t="shared" si="34"/>
        <v>0</v>
      </c>
      <c r="J324" s="57">
        <f t="shared" si="35"/>
        <v>0</v>
      </c>
    </row>
    <row r="325" spans="1:10" x14ac:dyDescent="0.25">
      <c r="A325" s="59"/>
      <c r="B325" s="46"/>
      <c r="C325" s="44"/>
      <c r="D325" s="44"/>
      <c r="E325" s="45"/>
      <c r="F325" s="42">
        <v>18</v>
      </c>
      <c r="G325" s="56">
        <f t="shared" si="32"/>
        <v>0</v>
      </c>
      <c r="H325" s="56">
        <f t="shared" si="33"/>
        <v>0</v>
      </c>
      <c r="I325" s="56">
        <f t="shared" si="34"/>
        <v>0</v>
      </c>
      <c r="J325" s="57">
        <f t="shared" si="35"/>
        <v>0</v>
      </c>
    </row>
    <row r="326" spans="1:10" x14ac:dyDescent="0.25">
      <c r="A326" s="59"/>
      <c r="B326" s="46"/>
      <c r="C326" s="44"/>
      <c r="D326" s="44"/>
      <c r="E326" s="45"/>
      <c r="F326" s="42">
        <v>18</v>
      </c>
      <c r="G326" s="56">
        <f t="shared" si="32"/>
        <v>0</v>
      </c>
      <c r="H326" s="56">
        <f t="shared" si="33"/>
        <v>0</v>
      </c>
      <c r="I326" s="56">
        <f t="shared" si="34"/>
        <v>0</v>
      </c>
      <c r="J326" s="57">
        <f t="shared" si="35"/>
        <v>0</v>
      </c>
    </row>
    <row r="327" spans="1:10" x14ac:dyDescent="0.25">
      <c r="A327" s="59"/>
      <c r="B327" s="46"/>
      <c r="C327" s="44"/>
      <c r="D327" s="44"/>
      <c r="E327" s="45"/>
      <c r="F327" s="42">
        <v>18</v>
      </c>
      <c r="G327" s="56">
        <f t="shared" si="32"/>
        <v>0</v>
      </c>
      <c r="H327" s="56">
        <f t="shared" si="33"/>
        <v>0</v>
      </c>
      <c r="I327" s="56">
        <f t="shared" si="34"/>
        <v>0</v>
      </c>
      <c r="J327" s="57">
        <f t="shared" si="35"/>
        <v>0</v>
      </c>
    </row>
    <row r="328" spans="1:10" x14ac:dyDescent="0.25">
      <c r="A328" s="59"/>
      <c r="B328" s="46"/>
      <c r="C328" s="44"/>
      <c r="D328" s="44"/>
      <c r="E328" s="45"/>
      <c r="F328" s="42">
        <v>18</v>
      </c>
      <c r="G328" s="56">
        <f t="shared" si="32"/>
        <v>0</v>
      </c>
      <c r="H328" s="56">
        <f t="shared" si="33"/>
        <v>0</v>
      </c>
      <c r="I328" s="56">
        <f t="shared" si="34"/>
        <v>0</v>
      </c>
      <c r="J328" s="57">
        <f t="shared" si="35"/>
        <v>0</v>
      </c>
    </row>
    <row r="329" spans="1:10" x14ac:dyDescent="0.25">
      <c r="A329" s="59"/>
      <c r="B329" s="46"/>
      <c r="C329" s="44"/>
      <c r="D329" s="44"/>
      <c r="E329" s="45"/>
      <c r="F329" s="42">
        <v>18</v>
      </c>
      <c r="G329" s="56">
        <f t="shared" si="32"/>
        <v>0</v>
      </c>
      <c r="H329" s="56">
        <f t="shared" si="33"/>
        <v>0</v>
      </c>
      <c r="I329" s="56">
        <f t="shared" si="34"/>
        <v>0</v>
      </c>
      <c r="J329" s="57">
        <f t="shared" si="35"/>
        <v>0</v>
      </c>
    </row>
    <row r="330" spans="1:10" x14ac:dyDescent="0.25">
      <c r="A330" s="59"/>
      <c r="B330" s="46"/>
      <c r="C330" s="44"/>
      <c r="D330" s="44"/>
      <c r="E330" s="45"/>
      <c r="F330" s="42">
        <v>18</v>
      </c>
      <c r="G330" s="56">
        <f t="shared" si="32"/>
        <v>0</v>
      </c>
      <c r="H330" s="56">
        <f t="shared" si="33"/>
        <v>0</v>
      </c>
      <c r="I330" s="56">
        <f t="shared" si="34"/>
        <v>0</v>
      </c>
      <c r="J330" s="57">
        <f t="shared" si="35"/>
        <v>0</v>
      </c>
    </row>
    <row r="331" spans="1:10" x14ac:dyDescent="0.25">
      <c r="A331" s="59"/>
      <c r="B331" s="46"/>
      <c r="C331" s="44"/>
      <c r="D331" s="44"/>
      <c r="E331" s="45"/>
      <c r="F331" s="42">
        <v>18</v>
      </c>
      <c r="G331" s="56">
        <f t="shared" si="32"/>
        <v>0</v>
      </c>
      <c r="H331" s="56">
        <f t="shared" si="33"/>
        <v>0</v>
      </c>
      <c r="I331" s="56">
        <f t="shared" si="34"/>
        <v>0</v>
      </c>
      <c r="J331" s="57">
        <f t="shared" si="35"/>
        <v>0</v>
      </c>
    </row>
    <row r="332" spans="1:10" x14ac:dyDescent="0.25">
      <c r="A332" s="59"/>
      <c r="B332" s="46"/>
      <c r="C332" s="44"/>
      <c r="D332" s="44"/>
      <c r="E332" s="45"/>
      <c r="F332" s="42">
        <v>18</v>
      </c>
      <c r="G332" s="56">
        <f t="shared" ref="G332:G395" si="36">ROUND((E332*F332%)/2,)</f>
        <v>0</v>
      </c>
      <c r="H332" s="56">
        <f t="shared" ref="H332:H395" si="37">G332</f>
        <v>0</v>
      </c>
      <c r="I332" s="56">
        <f t="shared" ref="I332:I395" si="38">G332+H332</f>
        <v>0</v>
      </c>
      <c r="J332" s="57">
        <f t="shared" ref="J332:J395" si="39">E332+I332</f>
        <v>0</v>
      </c>
    </row>
    <row r="333" spans="1:10" x14ac:dyDescent="0.25">
      <c r="A333" s="59"/>
      <c r="B333" s="46"/>
      <c r="C333" s="44"/>
      <c r="D333" s="44"/>
      <c r="E333" s="45"/>
      <c r="F333" s="42">
        <v>18</v>
      </c>
      <c r="G333" s="56">
        <f t="shared" si="36"/>
        <v>0</v>
      </c>
      <c r="H333" s="56">
        <f t="shared" si="37"/>
        <v>0</v>
      </c>
      <c r="I333" s="56">
        <f t="shared" si="38"/>
        <v>0</v>
      </c>
      <c r="J333" s="57">
        <f t="shared" si="39"/>
        <v>0</v>
      </c>
    </row>
    <row r="334" spans="1:10" x14ac:dyDescent="0.25">
      <c r="A334" s="59"/>
      <c r="B334" s="46"/>
      <c r="C334" s="44"/>
      <c r="D334" s="44"/>
      <c r="E334" s="45"/>
      <c r="F334" s="42">
        <v>18</v>
      </c>
      <c r="G334" s="56">
        <f t="shared" si="36"/>
        <v>0</v>
      </c>
      <c r="H334" s="56">
        <f t="shared" si="37"/>
        <v>0</v>
      </c>
      <c r="I334" s="56">
        <f t="shared" si="38"/>
        <v>0</v>
      </c>
      <c r="J334" s="57">
        <f t="shared" si="39"/>
        <v>0</v>
      </c>
    </row>
    <row r="335" spans="1:10" x14ac:dyDescent="0.25">
      <c r="A335" s="59"/>
      <c r="B335" s="46"/>
      <c r="C335" s="44"/>
      <c r="D335" s="44"/>
      <c r="E335" s="45"/>
      <c r="F335" s="42">
        <v>18</v>
      </c>
      <c r="G335" s="56">
        <f t="shared" si="36"/>
        <v>0</v>
      </c>
      <c r="H335" s="56">
        <f t="shared" si="37"/>
        <v>0</v>
      </c>
      <c r="I335" s="56">
        <f t="shared" si="38"/>
        <v>0</v>
      </c>
      <c r="J335" s="57">
        <f t="shared" si="39"/>
        <v>0</v>
      </c>
    </row>
    <row r="336" spans="1:10" x14ac:dyDescent="0.25">
      <c r="A336" s="59"/>
      <c r="B336" s="46"/>
      <c r="C336" s="44"/>
      <c r="D336" s="44"/>
      <c r="E336" s="45"/>
      <c r="F336" s="42">
        <v>18</v>
      </c>
      <c r="G336" s="56">
        <f t="shared" si="36"/>
        <v>0</v>
      </c>
      <c r="H336" s="56">
        <f t="shared" si="37"/>
        <v>0</v>
      </c>
      <c r="I336" s="56">
        <f t="shared" si="38"/>
        <v>0</v>
      </c>
      <c r="J336" s="57">
        <f t="shared" si="39"/>
        <v>0</v>
      </c>
    </row>
    <row r="337" spans="1:10" x14ac:dyDescent="0.25">
      <c r="A337" s="59"/>
      <c r="B337" s="46"/>
      <c r="C337" s="44"/>
      <c r="D337" s="44"/>
      <c r="E337" s="45"/>
      <c r="F337" s="42">
        <v>18</v>
      </c>
      <c r="G337" s="56">
        <f t="shared" si="36"/>
        <v>0</v>
      </c>
      <c r="H337" s="56">
        <f t="shared" si="37"/>
        <v>0</v>
      </c>
      <c r="I337" s="56">
        <f t="shared" si="38"/>
        <v>0</v>
      </c>
      <c r="J337" s="57">
        <f t="shared" si="39"/>
        <v>0</v>
      </c>
    </row>
    <row r="338" spans="1:10" x14ac:dyDescent="0.25">
      <c r="A338" s="59"/>
      <c r="B338" s="46"/>
      <c r="C338" s="44"/>
      <c r="D338" s="44"/>
      <c r="E338" s="45"/>
      <c r="F338" s="42">
        <v>18</v>
      </c>
      <c r="G338" s="56">
        <f t="shared" si="36"/>
        <v>0</v>
      </c>
      <c r="H338" s="56">
        <f t="shared" si="37"/>
        <v>0</v>
      </c>
      <c r="I338" s="56">
        <f t="shared" si="38"/>
        <v>0</v>
      </c>
      <c r="J338" s="57">
        <f t="shared" si="39"/>
        <v>0</v>
      </c>
    </row>
    <row r="339" spans="1:10" x14ac:dyDescent="0.25">
      <c r="A339" s="59"/>
      <c r="B339" s="46"/>
      <c r="C339" s="44"/>
      <c r="D339" s="44"/>
      <c r="E339" s="45"/>
      <c r="F339" s="42">
        <v>18</v>
      </c>
      <c r="G339" s="56">
        <f t="shared" si="36"/>
        <v>0</v>
      </c>
      <c r="H339" s="56">
        <f t="shared" si="37"/>
        <v>0</v>
      </c>
      <c r="I339" s="56">
        <f t="shared" si="38"/>
        <v>0</v>
      </c>
      <c r="J339" s="57">
        <f t="shared" si="39"/>
        <v>0</v>
      </c>
    </row>
    <row r="340" spans="1:10" x14ac:dyDescent="0.25">
      <c r="A340" s="59"/>
      <c r="B340" s="46"/>
      <c r="C340" s="44"/>
      <c r="D340" s="44"/>
      <c r="E340" s="45"/>
      <c r="F340" s="42">
        <v>18</v>
      </c>
      <c r="G340" s="56">
        <f t="shared" si="36"/>
        <v>0</v>
      </c>
      <c r="H340" s="56">
        <f t="shared" si="37"/>
        <v>0</v>
      </c>
      <c r="I340" s="56">
        <f t="shared" si="38"/>
        <v>0</v>
      </c>
      <c r="J340" s="57">
        <f t="shared" si="39"/>
        <v>0</v>
      </c>
    </row>
    <row r="341" spans="1:10" x14ac:dyDescent="0.25">
      <c r="A341" s="59"/>
      <c r="B341" s="46"/>
      <c r="C341" s="44"/>
      <c r="D341" s="44"/>
      <c r="E341" s="45"/>
      <c r="F341" s="42">
        <v>18</v>
      </c>
      <c r="G341" s="56">
        <f t="shared" si="36"/>
        <v>0</v>
      </c>
      <c r="H341" s="56">
        <f t="shared" si="37"/>
        <v>0</v>
      </c>
      <c r="I341" s="56">
        <f t="shared" si="38"/>
        <v>0</v>
      </c>
      <c r="J341" s="57">
        <f t="shared" si="39"/>
        <v>0</v>
      </c>
    </row>
    <row r="342" spans="1:10" x14ac:dyDescent="0.25">
      <c r="A342" s="59"/>
      <c r="B342" s="46"/>
      <c r="C342" s="44"/>
      <c r="D342" s="44"/>
      <c r="E342" s="45"/>
      <c r="F342" s="42">
        <v>18</v>
      </c>
      <c r="G342" s="56">
        <f t="shared" si="36"/>
        <v>0</v>
      </c>
      <c r="H342" s="56">
        <f t="shared" si="37"/>
        <v>0</v>
      </c>
      <c r="I342" s="56">
        <f t="shared" si="38"/>
        <v>0</v>
      </c>
      <c r="J342" s="57">
        <f t="shared" si="39"/>
        <v>0</v>
      </c>
    </row>
    <row r="343" spans="1:10" x14ac:dyDescent="0.25">
      <c r="A343" s="59"/>
      <c r="B343" s="46"/>
      <c r="C343" s="44"/>
      <c r="D343" s="44"/>
      <c r="E343" s="45"/>
      <c r="F343" s="42">
        <v>18</v>
      </c>
      <c r="G343" s="56">
        <f t="shared" si="36"/>
        <v>0</v>
      </c>
      <c r="H343" s="56">
        <f t="shared" si="37"/>
        <v>0</v>
      </c>
      <c r="I343" s="56">
        <f t="shared" si="38"/>
        <v>0</v>
      </c>
      <c r="J343" s="57">
        <f t="shared" si="39"/>
        <v>0</v>
      </c>
    </row>
    <row r="344" spans="1:10" x14ac:dyDescent="0.25">
      <c r="A344" s="59"/>
      <c r="B344" s="46"/>
      <c r="C344" s="44"/>
      <c r="D344" s="44"/>
      <c r="E344" s="45"/>
      <c r="F344" s="42">
        <v>18</v>
      </c>
      <c r="G344" s="56">
        <f t="shared" si="36"/>
        <v>0</v>
      </c>
      <c r="H344" s="56">
        <f t="shared" si="37"/>
        <v>0</v>
      </c>
      <c r="I344" s="56">
        <f t="shared" si="38"/>
        <v>0</v>
      </c>
      <c r="J344" s="57">
        <f t="shared" si="39"/>
        <v>0</v>
      </c>
    </row>
    <row r="345" spans="1:10" x14ac:dyDescent="0.25">
      <c r="A345" s="59"/>
      <c r="B345" s="46"/>
      <c r="C345" s="44"/>
      <c r="D345" s="44"/>
      <c r="E345" s="45"/>
      <c r="F345" s="42">
        <v>18</v>
      </c>
      <c r="G345" s="56">
        <f t="shared" si="36"/>
        <v>0</v>
      </c>
      <c r="H345" s="56">
        <f t="shared" si="37"/>
        <v>0</v>
      </c>
      <c r="I345" s="56">
        <f t="shared" si="38"/>
        <v>0</v>
      </c>
      <c r="J345" s="57">
        <f t="shared" si="39"/>
        <v>0</v>
      </c>
    </row>
    <row r="346" spans="1:10" x14ac:dyDescent="0.25">
      <c r="A346" s="59"/>
      <c r="B346" s="46"/>
      <c r="C346" s="44"/>
      <c r="D346" s="44"/>
      <c r="E346" s="45"/>
      <c r="F346" s="42">
        <v>18</v>
      </c>
      <c r="G346" s="56">
        <f t="shared" si="36"/>
        <v>0</v>
      </c>
      <c r="H346" s="56">
        <f t="shared" si="37"/>
        <v>0</v>
      </c>
      <c r="I346" s="56">
        <f t="shared" si="38"/>
        <v>0</v>
      </c>
      <c r="J346" s="57">
        <f t="shared" si="39"/>
        <v>0</v>
      </c>
    </row>
    <row r="347" spans="1:10" x14ac:dyDescent="0.25">
      <c r="A347" s="59"/>
      <c r="B347" s="46"/>
      <c r="C347" s="44"/>
      <c r="D347" s="44"/>
      <c r="E347" s="45"/>
      <c r="F347" s="42">
        <v>18</v>
      </c>
      <c r="G347" s="56">
        <f t="shared" si="36"/>
        <v>0</v>
      </c>
      <c r="H347" s="56">
        <f t="shared" si="37"/>
        <v>0</v>
      </c>
      <c r="I347" s="56">
        <f t="shared" si="38"/>
        <v>0</v>
      </c>
      <c r="J347" s="57">
        <f t="shared" si="39"/>
        <v>0</v>
      </c>
    </row>
    <row r="348" spans="1:10" x14ac:dyDescent="0.25">
      <c r="A348" s="59"/>
      <c r="B348" s="46"/>
      <c r="C348" s="44"/>
      <c r="D348" s="44"/>
      <c r="E348" s="45"/>
      <c r="F348" s="42">
        <v>18</v>
      </c>
      <c r="G348" s="56">
        <f t="shared" si="36"/>
        <v>0</v>
      </c>
      <c r="H348" s="56">
        <f t="shared" si="37"/>
        <v>0</v>
      </c>
      <c r="I348" s="56">
        <f t="shared" si="38"/>
        <v>0</v>
      </c>
      <c r="J348" s="57">
        <f t="shared" si="39"/>
        <v>0</v>
      </c>
    </row>
    <row r="349" spans="1:10" x14ac:dyDescent="0.25">
      <c r="A349" s="59"/>
      <c r="B349" s="46"/>
      <c r="C349" s="44"/>
      <c r="D349" s="44"/>
      <c r="E349" s="45"/>
      <c r="F349" s="42">
        <v>18</v>
      </c>
      <c r="G349" s="56">
        <f t="shared" si="36"/>
        <v>0</v>
      </c>
      <c r="H349" s="56">
        <f t="shared" si="37"/>
        <v>0</v>
      </c>
      <c r="I349" s="56">
        <f t="shared" si="38"/>
        <v>0</v>
      </c>
      <c r="J349" s="57">
        <f t="shared" si="39"/>
        <v>0</v>
      </c>
    </row>
    <row r="350" spans="1:10" x14ac:dyDescent="0.25">
      <c r="A350" s="59"/>
      <c r="B350" s="46"/>
      <c r="C350" s="44"/>
      <c r="D350" s="44"/>
      <c r="E350" s="45"/>
      <c r="F350" s="42">
        <v>18</v>
      </c>
      <c r="G350" s="56">
        <f t="shared" si="36"/>
        <v>0</v>
      </c>
      <c r="H350" s="56">
        <f t="shared" si="37"/>
        <v>0</v>
      </c>
      <c r="I350" s="56">
        <f t="shared" si="38"/>
        <v>0</v>
      </c>
      <c r="J350" s="57">
        <f t="shared" si="39"/>
        <v>0</v>
      </c>
    </row>
    <row r="351" spans="1:10" x14ac:dyDescent="0.25">
      <c r="A351" s="59"/>
      <c r="B351" s="46"/>
      <c r="C351" s="44"/>
      <c r="D351" s="44"/>
      <c r="E351" s="45"/>
      <c r="F351" s="42">
        <v>18</v>
      </c>
      <c r="G351" s="56">
        <f t="shared" si="36"/>
        <v>0</v>
      </c>
      <c r="H351" s="56">
        <f t="shared" si="37"/>
        <v>0</v>
      </c>
      <c r="I351" s="56">
        <f t="shared" si="38"/>
        <v>0</v>
      </c>
      <c r="J351" s="57">
        <f t="shared" si="39"/>
        <v>0</v>
      </c>
    </row>
    <row r="352" spans="1:10" x14ac:dyDescent="0.25">
      <c r="A352" s="59"/>
      <c r="B352" s="46"/>
      <c r="C352" s="44"/>
      <c r="D352" s="44"/>
      <c r="E352" s="45"/>
      <c r="F352" s="42">
        <v>18</v>
      </c>
      <c r="G352" s="56">
        <f t="shared" si="36"/>
        <v>0</v>
      </c>
      <c r="H352" s="56">
        <f t="shared" si="37"/>
        <v>0</v>
      </c>
      <c r="I352" s="56">
        <f t="shared" si="38"/>
        <v>0</v>
      </c>
      <c r="J352" s="57">
        <f t="shared" si="39"/>
        <v>0</v>
      </c>
    </row>
    <row r="353" spans="1:10" x14ac:dyDescent="0.25">
      <c r="A353" s="59"/>
      <c r="B353" s="46"/>
      <c r="C353" s="44"/>
      <c r="D353" s="44"/>
      <c r="E353" s="45"/>
      <c r="F353" s="42">
        <v>18</v>
      </c>
      <c r="G353" s="56">
        <f t="shared" si="36"/>
        <v>0</v>
      </c>
      <c r="H353" s="56">
        <f t="shared" si="37"/>
        <v>0</v>
      </c>
      <c r="I353" s="56">
        <f t="shared" si="38"/>
        <v>0</v>
      </c>
      <c r="J353" s="57">
        <f t="shared" si="39"/>
        <v>0</v>
      </c>
    </row>
    <row r="354" spans="1:10" x14ac:dyDescent="0.25">
      <c r="A354" s="59"/>
      <c r="B354" s="46"/>
      <c r="C354" s="44"/>
      <c r="D354" s="44"/>
      <c r="E354" s="45"/>
      <c r="F354" s="42">
        <v>18</v>
      </c>
      <c r="G354" s="56">
        <f t="shared" si="36"/>
        <v>0</v>
      </c>
      <c r="H354" s="56">
        <f t="shared" si="37"/>
        <v>0</v>
      </c>
      <c r="I354" s="56">
        <f t="shared" si="38"/>
        <v>0</v>
      </c>
      <c r="J354" s="57">
        <f t="shared" si="39"/>
        <v>0</v>
      </c>
    </row>
    <row r="355" spans="1:10" x14ac:dyDescent="0.25">
      <c r="A355" s="59"/>
      <c r="B355" s="46"/>
      <c r="C355" s="44"/>
      <c r="D355" s="44"/>
      <c r="E355" s="45"/>
      <c r="F355" s="42">
        <v>18</v>
      </c>
      <c r="G355" s="56">
        <f t="shared" si="36"/>
        <v>0</v>
      </c>
      <c r="H355" s="56">
        <f t="shared" si="37"/>
        <v>0</v>
      </c>
      <c r="I355" s="56">
        <f t="shared" si="38"/>
        <v>0</v>
      </c>
      <c r="J355" s="57">
        <f t="shared" si="39"/>
        <v>0</v>
      </c>
    </row>
    <row r="356" spans="1:10" x14ac:dyDescent="0.25">
      <c r="A356" s="59"/>
      <c r="B356" s="46"/>
      <c r="C356" s="44"/>
      <c r="D356" s="44"/>
      <c r="E356" s="45"/>
      <c r="F356" s="42">
        <v>18</v>
      </c>
      <c r="G356" s="56">
        <f t="shared" si="36"/>
        <v>0</v>
      </c>
      <c r="H356" s="56">
        <f t="shared" si="37"/>
        <v>0</v>
      </c>
      <c r="I356" s="56">
        <f t="shared" si="38"/>
        <v>0</v>
      </c>
      <c r="J356" s="57">
        <f t="shared" si="39"/>
        <v>0</v>
      </c>
    </row>
    <row r="357" spans="1:10" x14ac:dyDescent="0.25">
      <c r="A357" s="59"/>
      <c r="B357" s="46"/>
      <c r="C357" s="44"/>
      <c r="D357" s="44"/>
      <c r="E357" s="45"/>
      <c r="F357" s="42">
        <v>18</v>
      </c>
      <c r="G357" s="56">
        <f t="shared" si="36"/>
        <v>0</v>
      </c>
      <c r="H357" s="56">
        <f t="shared" si="37"/>
        <v>0</v>
      </c>
      <c r="I357" s="56">
        <f t="shared" si="38"/>
        <v>0</v>
      </c>
      <c r="J357" s="57">
        <f t="shared" si="39"/>
        <v>0</v>
      </c>
    </row>
    <row r="358" spans="1:10" x14ac:dyDescent="0.25">
      <c r="A358" s="59"/>
      <c r="B358" s="46"/>
      <c r="C358" s="44"/>
      <c r="D358" s="44"/>
      <c r="E358" s="45"/>
      <c r="F358" s="42">
        <v>18</v>
      </c>
      <c r="G358" s="56">
        <f t="shared" si="36"/>
        <v>0</v>
      </c>
      <c r="H358" s="56">
        <f t="shared" si="37"/>
        <v>0</v>
      </c>
      <c r="I358" s="56">
        <f t="shared" si="38"/>
        <v>0</v>
      </c>
      <c r="J358" s="57">
        <f t="shared" si="39"/>
        <v>0</v>
      </c>
    </row>
    <row r="359" spans="1:10" x14ac:dyDescent="0.25">
      <c r="A359" s="59"/>
      <c r="B359" s="46"/>
      <c r="C359" s="44"/>
      <c r="D359" s="44"/>
      <c r="E359" s="45"/>
      <c r="F359" s="42">
        <v>18</v>
      </c>
      <c r="G359" s="56">
        <f t="shared" si="36"/>
        <v>0</v>
      </c>
      <c r="H359" s="56">
        <f t="shared" si="37"/>
        <v>0</v>
      </c>
      <c r="I359" s="56">
        <f t="shared" si="38"/>
        <v>0</v>
      </c>
      <c r="J359" s="57">
        <f t="shared" si="39"/>
        <v>0</v>
      </c>
    </row>
    <row r="360" spans="1:10" x14ac:dyDescent="0.25">
      <c r="A360" s="59"/>
      <c r="B360" s="46"/>
      <c r="C360" s="44"/>
      <c r="D360" s="44"/>
      <c r="E360" s="45"/>
      <c r="F360" s="42">
        <v>18</v>
      </c>
      <c r="G360" s="56">
        <f t="shared" si="36"/>
        <v>0</v>
      </c>
      <c r="H360" s="56">
        <f t="shared" si="37"/>
        <v>0</v>
      </c>
      <c r="I360" s="56">
        <f t="shared" si="38"/>
        <v>0</v>
      </c>
      <c r="J360" s="57">
        <f t="shared" si="39"/>
        <v>0</v>
      </c>
    </row>
    <row r="361" spans="1:10" x14ac:dyDescent="0.25">
      <c r="A361" s="59"/>
      <c r="B361" s="46"/>
      <c r="C361" s="44"/>
      <c r="D361" s="44"/>
      <c r="E361" s="45"/>
      <c r="F361" s="42">
        <v>18</v>
      </c>
      <c r="G361" s="56">
        <f t="shared" si="36"/>
        <v>0</v>
      </c>
      <c r="H361" s="56">
        <f t="shared" si="37"/>
        <v>0</v>
      </c>
      <c r="I361" s="56">
        <f t="shared" si="38"/>
        <v>0</v>
      </c>
      <c r="J361" s="57">
        <f t="shared" si="39"/>
        <v>0</v>
      </c>
    </row>
    <row r="362" spans="1:10" x14ac:dyDescent="0.25">
      <c r="A362" s="59"/>
      <c r="B362" s="46"/>
      <c r="C362" s="44"/>
      <c r="D362" s="44"/>
      <c r="E362" s="45"/>
      <c r="F362" s="42">
        <v>18</v>
      </c>
      <c r="G362" s="56">
        <f t="shared" si="36"/>
        <v>0</v>
      </c>
      <c r="H362" s="56">
        <f t="shared" si="37"/>
        <v>0</v>
      </c>
      <c r="I362" s="56">
        <f t="shared" si="38"/>
        <v>0</v>
      </c>
      <c r="J362" s="57">
        <f t="shared" si="39"/>
        <v>0</v>
      </c>
    </row>
    <row r="363" spans="1:10" x14ac:dyDescent="0.25">
      <c r="A363" s="59"/>
      <c r="B363" s="46"/>
      <c r="C363" s="44"/>
      <c r="D363" s="44"/>
      <c r="E363" s="45"/>
      <c r="F363" s="42">
        <v>18</v>
      </c>
      <c r="G363" s="56">
        <f t="shared" si="36"/>
        <v>0</v>
      </c>
      <c r="H363" s="56">
        <f t="shared" si="37"/>
        <v>0</v>
      </c>
      <c r="I363" s="56">
        <f t="shared" si="38"/>
        <v>0</v>
      </c>
      <c r="J363" s="57">
        <f t="shared" si="39"/>
        <v>0</v>
      </c>
    </row>
    <row r="364" spans="1:10" x14ac:dyDescent="0.25">
      <c r="A364" s="59"/>
      <c r="B364" s="46"/>
      <c r="C364" s="44"/>
      <c r="D364" s="44"/>
      <c r="E364" s="45"/>
      <c r="F364" s="42">
        <v>18</v>
      </c>
      <c r="G364" s="56">
        <f t="shared" si="36"/>
        <v>0</v>
      </c>
      <c r="H364" s="56">
        <f t="shared" si="37"/>
        <v>0</v>
      </c>
      <c r="I364" s="56">
        <f t="shared" si="38"/>
        <v>0</v>
      </c>
      <c r="J364" s="57">
        <f t="shared" si="39"/>
        <v>0</v>
      </c>
    </row>
    <row r="365" spans="1:10" x14ac:dyDescent="0.25">
      <c r="A365" s="59"/>
      <c r="B365" s="46"/>
      <c r="C365" s="44"/>
      <c r="D365" s="44"/>
      <c r="E365" s="45"/>
      <c r="F365" s="42">
        <v>18</v>
      </c>
      <c r="G365" s="56">
        <f t="shared" si="36"/>
        <v>0</v>
      </c>
      <c r="H365" s="56">
        <f t="shared" si="37"/>
        <v>0</v>
      </c>
      <c r="I365" s="56">
        <f t="shared" si="38"/>
        <v>0</v>
      </c>
      <c r="J365" s="57">
        <f t="shared" si="39"/>
        <v>0</v>
      </c>
    </row>
    <row r="366" spans="1:10" x14ac:dyDescent="0.25">
      <c r="A366" s="59"/>
      <c r="B366" s="46"/>
      <c r="C366" s="44"/>
      <c r="D366" s="44"/>
      <c r="E366" s="45"/>
      <c r="F366" s="42">
        <v>18</v>
      </c>
      <c r="G366" s="56">
        <f t="shared" si="36"/>
        <v>0</v>
      </c>
      <c r="H366" s="56">
        <f t="shared" si="37"/>
        <v>0</v>
      </c>
      <c r="I366" s="56">
        <f t="shared" si="38"/>
        <v>0</v>
      </c>
      <c r="J366" s="57">
        <f t="shared" si="39"/>
        <v>0</v>
      </c>
    </row>
    <row r="367" spans="1:10" x14ac:dyDescent="0.25">
      <c r="A367" s="59"/>
      <c r="B367" s="46"/>
      <c r="C367" s="44"/>
      <c r="D367" s="44"/>
      <c r="E367" s="45"/>
      <c r="F367" s="42">
        <v>18</v>
      </c>
      <c r="G367" s="56">
        <f t="shared" si="36"/>
        <v>0</v>
      </c>
      <c r="H367" s="56">
        <f t="shared" si="37"/>
        <v>0</v>
      </c>
      <c r="I367" s="56">
        <f t="shared" si="38"/>
        <v>0</v>
      </c>
      <c r="J367" s="57">
        <f t="shared" si="39"/>
        <v>0</v>
      </c>
    </row>
    <row r="368" spans="1:10" x14ac:dyDescent="0.25">
      <c r="A368" s="59"/>
      <c r="B368" s="46"/>
      <c r="C368" s="44"/>
      <c r="D368" s="44"/>
      <c r="E368" s="45"/>
      <c r="F368" s="42">
        <v>18</v>
      </c>
      <c r="G368" s="56">
        <f t="shared" si="36"/>
        <v>0</v>
      </c>
      <c r="H368" s="56">
        <f t="shared" si="37"/>
        <v>0</v>
      </c>
      <c r="I368" s="56">
        <f t="shared" si="38"/>
        <v>0</v>
      </c>
      <c r="J368" s="57">
        <f t="shared" si="39"/>
        <v>0</v>
      </c>
    </row>
    <row r="369" spans="1:10" x14ac:dyDescent="0.25">
      <c r="A369" s="59"/>
      <c r="B369" s="46"/>
      <c r="C369" s="44"/>
      <c r="D369" s="44"/>
      <c r="E369" s="45"/>
      <c r="F369" s="42">
        <v>18</v>
      </c>
      <c r="G369" s="56">
        <f t="shared" si="36"/>
        <v>0</v>
      </c>
      <c r="H369" s="56">
        <f t="shared" si="37"/>
        <v>0</v>
      </c>
      <c r="I369" s="56">
        <f t="shared" si="38"/>
        <v>0</v>
      </c>
      <c r="J369" s="57">
        <f t="shared" si="39"/>
        <v>0</v>
      </c>
    </row>
    <row r="370" spans="1:10" x14ac:dyDescent="0.25">
      <c r="A370" s="59"/>
      <c r="B370" s="46"/>
      <c r="C370" s="44"/>
      <c r="D370" s="44"/>
      <c r="E370" s="45"/>
      <c r="F370" s="42">
        <v>18</v>
      </c>
      <c r="G370" s="56">
        <f t="shared" si="36"/>
        <v>0</v>
      </c>
      <c r="H370" s="56">
        <f t="shared" si="37"/>
        <v>0</v>
      </c>
      <c r="I370" s="56">
        <f t="shared" si="38"/>
        <v>0</v>
      </c>
      <c r="J370" s="57">
        <f t="shared" si="39"/>
        <v>0</v>
      </c>
    </row>
    <row r="371" spans="1:10" x14ac:dyDescent="0.25">
      <c r="A371" s="59"/>
      <c r="B371" s="46"/>
      <c r="C371" s="44"/>
      <c r="D371" s="44"/>
      <c r="E371" s="45"/>
      <c r="F371" s="42">
        <v>18</v>
      </c>
      <c r="G371" s="56">
        <f t="shared" si="36"/>
        <v>0</v>
      </c>
      <c r="H371" s="56">
        <f t="shared" si="37"/>
        <v>0</v>
      </c>
      <c r="I371" s="56">
        <f t="shared" si="38"/>
        <v>0</v>
      </c>
      <c r="J371" s="57">
        <f t="shared" si="39"/>
        <v>0</v>
      </c>
    </row>
    <row r="372" spans="1:10" x14ac:dyDescent="0.25">
      <c r="A372" s="59"/>
      <c r="B372" s="46"/>
      <c r="C372" s="44"/>
      <c r="D372" s="44"/>
      <c r="E372" s="45"/>
      <c r="F372" s="42">
        <v>18</v>
      </c>
      <c r="G372" s="56">
        <f t="shared" si="36"/>
        <v>0</v>
      </c>
      <c r="H372" s="56">
        <f t="shared" si="37"/>
        <v>0</v>
      </c>
      <c r="I372" s="56">
        <f t="shared" si="38"/>
        <v>0</v>
      </c>
      <c r="J372" s="57">
        <f t="shared" si="39"/>
        <v>0</v>
      </c>
    </row>
    <row r="373" spans="1:10" x14ac:dyDescent="0.25">
      <c r="A373" s="59"/>
      <c r="B373" s="46"/>
      <c r="C373" s="44"/>
      <c r="D373" s="44"/>
      <c r="E373" s="45"/>
      <c r="F373" s="42">
        <v>18</v>
      </c>
      <c r="G373" s="56">
        <f t="shared" si="36"/>
        <v>0</v>
      </c>
      <c r="H373" s="56">
        <f t="shared" si="37"/>
        <v>0</v>
      </c>
      <c r="I373" s="56">
        <f t="shared" si="38"/>
        <v>0</v>
      </c>
      <c r="J373" s="57">
        <f t="shared" si="39"/>
        <v>0</v>
      </c>
    </row>
    <row r="374" spans="1:10" x14ac:dyDescent="0.25">
      <c r="A374" s="59"/>
      <c r="B374" s="46"/>
      <c r="C374" s="44"/>
      <c r="D374" s="44"/>
      <c r="E374" s="45"/>
      <c r="F374" s="42">
        <v>18</v>
      </c>
      <c r="G374" s="56">
        <f t="shared" si="36"/>
        <v>0</v>
      </c>
      <c r="H374" s="56">
        <f t="shared" si="37"/>
        <v>0</v>
      </c>
      <c r="I374" s="56">
        <f t="shared" si="38"/>
        <v>0</v>
      </c>
      <c r="J374" s="57">
        <f t="shared" si="39"/>
        <v>0</v>
      </c>
    </row>
    <row r="375" spans="1:10" x14ac:dyDescent="0.25">
      <c r="A375" s="59"/>
      <c r="B375" s="46"/>
      <c r="C375" s="44"/>
      <c r="D375" s="44"/>
      <c r="E375" s="45"/>
      <c r="F375" s="42">
        <v>18</v>
      </c>
      <c r="G375" s="56">
        <f t="shared" si="36"/>
        <v>0</v>
      </c>
      <c r="H375" s="56">
        <f t="shared" si="37"/>
        <v>0</v>
      </c>
      <c r="I375" s="56">
        <f t="shared" si="38"/>
        <v>0</v>
      </c>
      <c r="J375" s="57">
        <f t="shared" si="39"/>
        <v>0</v>
      </c>
    </row>
    <row r="376" spans="1:10" x14ac:dyDescent="0.25">
      <c r="A376" s="59"/>
      <c r="B376" s="46"/>
      <c r="C376" s="44"/>
      <c r="D376" s="44"/>
      <c r="E376" s="45"/>
      <c r="F376" s="42">
        <v>18</v>
      </c>
      <c r="G376" s="56">
        <f t="shared" si="36"/>
        <v>0</v>
      </c>
      <c r="H376" s="56">
        <f t="shared" si="37"/>
        <v>0</v>
      </c>
      <c r="I376" s="56">
        <f t="shared" si="38"/>
        <v>0</v>
      </c>
      <c r="J376" s="57">
        <f t="shared" si="39"/>
        <v>0</v>
      </c>
    </row>
    <row r="377" spans="1:10" x14ac:dyDescent="0.25">
      <c r="A377" s="59"/>
      <c r="B377" s="46"/>
      <c r="C377" s="44"/>
      <c r="D377" s="44"/>
      <c r="E377" s="45"/>
      <c r="F377" s="42">
        <v>18</v>
      </c>
      <c r="G377" s="56">
        <f t="shared" si="36"/>
        <v>0</v>
      </c>
      <c r="H377" s="56">
        <f t="shared" si="37"/>
        <v>0</v>
      </c>
      <c r="I377" s="56">
        <f t="shared" si="38"/>
        <v>0</v>
      </c>
      <c r="J377" s="57">
        <f t="shared" si="39"/>
        <v>0</v>
      </c>
    </row>
    <row r="378" spans="1:10" x14ac:dyDescent="0.25">
      <c r="A378" s="59"/>
      <c r="B378" s="46"/>
      <c r="C378" s="44"/>
      <c r="D378" s="44"/>
      <c r="E378" s="45"/>
      <c r="F378" s="42">
        <v>18</v>
      </c>
      <c r="G378" s="56">
        <f t="shared" si="36"/>
        <v>0</v>
      </c>
      <c r="H378" s="56">
        <f t="shared" si="37"/>
        <v>0</v>
      </c>
      <c r="I378" s="56">
        <f t="shared" si="38"/>
        <v>0</v>
      </c>
      <c r="J378" s="57">
        <f t="shared" si="39"/>
        <v>0</v>
      </c>
    </row>
    <row r="379" spans="1:10" x14ac:dyDescent="0.25">
      <c r="A379" s="59"/>
      <c r="B379" s="46"/>
      <c r="C379" s="44"/>
      <c r="D379" s="44"/>
      <c r="E379" s="45"/>
      <c r="F379" s="42">
        <v>18</v>
      </c>
      <c r="G379" s="56">
        <f t="shared" si="36"/>
        <v>0</v>
      </c>
      <c r="H379" s="56">
        <f t="shared" si="37"/>
        <v>0</v>
      </c>
      <c r="I379" s="56">
        <f t="shared" si="38"/>
        <v>0</v>
      </c>
      <c r="J379" s="57">
        <f t="shared" si="39"/>
        <v>0</v>
      </c>
    </row>
    <row r="380" spans="1:10" x14ac:dyDescent="0.25">
      <c r="A380" s="59"/>
      <c r="B380" s="46"/>
      <c r="C380" s="44"/>
      <c r="D380" s="44"/>
      <c r="E380" s="45"/>
      <c r="F380" s="42">
        <v>18</v>
      </c>
      <c r="G380" s="56">
        <f t="shared" si="36"/>
        <v>0</v>
      </c>
      <c r="H380" s="56">
        <f t="shared" si="37"/>
        <v>0</v>
      </c>
      <c r="I380" s="56">
        <f t="shared" si="38"/>
        <v>0</v>
      </c>
      <c r="J380" s="57">
        <f t="shared" si="39"/>
        <v>0</v>
      </c>
    </row>
    <row r="381" spans="1:10" x14ac:dyDescent="0.25">
      <c r="A381" s="59"/>
      <c r="B381" s="46"/>
      <c r="C381" s="44"/>
      <c r="D381" s="44"/>
      <c r="E381" s="45"/>
      <c r="F381" s="42">
        <v>18</v>
      </c>
      <c r="G381" s="56">
        <f t="shared" si="36"/>
        <v>0</v>
      </c>
      <c r="H381" s="56">
        <f t="shared" si="37"/>
        <v>0</v>
      </c>
      <c r="I381" s="56">
        <f t="shared" si="38"/>
        <v>0</v>
      </c>
      <c r="J381" s="57">
        <f t="shared" si="39"/>
        <v>0</v>
      </c>
    </row>
    <row r="382" spans="1:10" x14ac:dyDescent="0.25">
      <c r="A382" s="59"/>
      <c r="B382" s="46"/>
      <c r="C382" s="44"/>
      <c r="D382" s="44"/>
      <c r="E382" s="45"/>
      <c r="F382" s="42">
        <v>18</v>
      </c>
      <c r="G382" s="56">
        <f t="shared" si="36"/>
        <v>0</v>
      </c>
      <c r="H382" s="56">
        <f t="shared" si="37"/>
        <v>0</v>
      </c>
      <c r="I382" s="56">
        <f t="shared" si="38"/>
        <v>0</v>
      </c>
      <c r="J382" s="57">
        <f t="shared" si="39"/>
        <v>0</v>
      </c>
    </row>
    <row r="383" spans="1:10" x14ac:dyDescent="0.25">
      <c r="A383" s="59"/>
      <c r="B383" s="46"/>
      <c r="C383" s="44"/>
      <c r="D383" s="44"/>
      <c r="E383" s="45"/>
      <c r="F383" s="42">
        <v>18</v>
      </c>
      <c r="G383" s="56">
        <f t="shared" si="36"/>
        <v>0</v>
      </c>
      <c r="H383" s="56">
        <f t="shared" si="37"/>
        <v>0</v>
      </c>
      <c r="I383" s="56">
        <f t="shared" si="38"/>
        <v>0</v>
      </c>
      <c r="J383" s="57">
        <f t="shared" si="39"/>
        <v>0</v>
      </c>
    </row>
    <row r="384" spans="1:10" x14ac:dyDescent="0.25">
      <c r="A384" s="59"/>
      <c r="B384" s="46"/>
      <c r="C384" s="44"/>
      <c r="D384" s="44"/>
      <c r="E384" s="45"/>
      <c r="F384" s="42">
        <v>18</v>
      </c>
      <c r="G384" s="56">
        <f t="shared" si="36"/>
        <v>0</v>
      </c>
      <c r="H384" s="56">
        <f t="shared" si="37"/>
        <v>0</v>
      </c>
      <c r="I384" s="56">
        <f t="shared" si="38"/>
        <v>0</v>
      </c>
      <c r="J384" s="57">
        <f t="shared" si="39"/>
        <v>0</v>
      </c>
    </row>
    <row r="385" spans="1:10" x14ac:dyDescent="0.25">
      <c r="A385" s="59"/>
      <c r="B385" s="46"/>
      <c r="C385" s="44"/>
      <c r="D385" s="44"/>
      <c r="E385" s="45"/>
      <c r="F385" s="42">
        <v>18</v>
      </c>
      <c r="G385" s="56">
        <f t="shared" si="36"/>
        <v>0</v>
      </c>
      <c r="H385" s="56">
        <f t="shared" si="37"/>
        <v>0</v>
      </c>
      <c r="I385" s="56">
        <f t="shared" si="38"/>
        <v>0</v>
      </c>
      <c r="J385" s="57">
        <f t="shared" si="39"/>
        <v>0</v>
      </c>
    </row>
    <row r="386" spans="1:10" x14ac:dyDescent="0.25">
      <c r="A386" s="59"/>
      <c r="B386" s="46"/>
      <c r="C386" s="44"/>
      <c r="D386" s="44"/>
      <c r="E386" s="45"/>
      <c r="F386" s="42">
        <v>18</v>
      </c>
      <c r="G386" s="56">
        <f t="shared" si="36"/>
        <v>0</v>
      </c>
      <c r="H386" s="56">
        <f t="shared" si="37"/>
        <v>0</v>
      </c>
      <c r="I386" s="56">
        <f t="shared" si="38"/>
        <v>0</v>
      </c>
      <c r="J386" s="57">
        <f t="shared" si="39"/>
        <v>0</v>
      </c>
    </row>
    <row r="387" spans="1:10" x14ac:dyDescent="0.25">
      <c r="A387" s="59"/>
      <c r="B387" s="46"/>
      <c r="C387" s="44"/>
      <c r="D387" s="44"/>
      <c r="E387" s="45"/>
      <c r="F387" s="42">
        <v>18</v>
      </c>
      <c r="G387" s="56">
        <f t="shared" si="36"/>
        <v>0</v>
      </c>
      <c r="H387" s="56">
        <f t="shared" si="37"/>
        <v>0</v>
      </c>
      <c r="I387" s="56">
        <f t="shared" si="38"/>
        <v>0</v>
      </c>
      <c r="J387" s="57">
        <f t="shared" si="39"/>
        <v>0</v>
      </c>
    </row>
    <row r="388" spans="1:10" x14ac:dyDescent="0.25">
      <c r="A388" s="59"/>
      <c r="B388" s="46"/>
      <c r="C388" s="44"/>
      <c r="D388" s="44"/>
      <c r="E388" s="45"/>
      <c r="F388" s="42">
        <v>18</v>
      </c>
      <c r="G388" s="56">
        <f t="shared" si="36"/>
        <v>0</v>
      </c>
      <c r="H388" s="56">
        <f t="shared" si="37"/>
        <v>0</v>
      </c>
      <c r="I388" s="56">
        <f t="shared" si="38"/>
        <v>0</v>
      </c>
      <c r="J388" s="57">
        <f t="shared" si="39"/>
        <v>0</v>
      </c>
    </row>
    <row r="389" spans="1:10" x14ac:dyDescent="0.25">
      <c r="A389" s="59"/>
      <c r="B389" s="46"/>
      <c r="C389" s="44"/>
      <c r="D389" s="44"/>
      <c r="E389" s="45"/>
      <c r="F389" s="42">
        <v>18</v>
      </c>
      <c r="G389" s="56">
        <f t="shared" si="36"/>
        <v>0</v>
      </c>
      <c r="H389" s="56">
        <f t="shared" si="37"/>
        <v>0</v>
      </c>
      <c r="I389" s="56">
        <f t="shared" si="38"/>
        <v>0</v>
      </c>
      <c r="J389" s="57">
        <f t="shared" si="39"/>
        <v>0</v>
      </c>
    </row>
    <row r="390" spans="1:10" x14ac:dyDescent="0.25">
      <c r="A390" s="59"/>
      <c r="B390" s="46"/>
      <c r="C390" s="44"/>
      <c r="D390" s="44"/>
      <c r="E390" s="45"/>
      <c r="F390" s="42">
        <v>18</v>
      </c>
      <c r="G390" s="56">
        <f t="shared" si="36"/>
        <v>0</v>
      </c>
      <c r="H390" s="56">
        <f t="shared" si="37"/>
        <v>0</v>
      </c>
      <c r="I390" s="56">
        <f t="shared" si="38"/>
        <v>0</v>
      </c>
      <c r="J390" s="57">
        <f t="shared" si="39"/>
        <v>0</v>
      </c>
    </row>
    <row r="391" spans="1:10" x14ac:dyDescent="0.25">
      <c r="A391" s="59"/>
      <c r="B391" s="46"/>
      <c r="C391" s="44"/>
      <c r="D391" s="44"/>
      <c r="E391" s="45"/>
      <c r="F391" s="42">
        <v>18</v>
      </c>
      <c r="G391" s="56">
        <f t="shared" si="36"/>
        <v>0</v>
      </c>
      <c r="H391" s="56">
        <f t="shared" si="37"/>
        <v>0</v>
      </c>
      <c r="I391" s="56">
        <f t="shared" si="38"/>
        <v>0</v>
      </c>
      <c r="J391" s="57">
        <f t="shared" si="39"/>
        <v>0</v>
      </c>
    </row>
    <row r="392" spans="1:10" x14ac:dyDescent="0.25">
      <c r="A392" s="59"/>
      <c r="B392" s="46"/>
      <c r="C392" s="44"/>
      <c r="D392" s="44"/>
      <c r="E392" s="45"/>
      <c r="F392" s="42">
        <v>18</v>
      </c>
      <c r="G392" s="56">
        <f t="shared" si="36"/>
        <v>0</v>
      </c>
      <c r="H392" s="56">
        <f t="shared" si="37"/>
        <v>0</v>
      </c>
      <c r="I392" s="56">
        <f t="shared" si="38"/>
        <v>0</v>
      </c>
      <c r="J392" s="57">
        <f t="shared" si="39"/>
        <v>0</v>
      </c>
    </row>
    <row r="393" spans="1:10" x14ac:dyDescent="0.25">
      <c r="A393" s="59"/>
      <c r="B393" s="46"/>
      <c r="C393" s="44"/>
      <c r="D393" s="44"/>
      <c r="E393" s="45"/>
      <c r="F393" s="42">
        <v>18</v>
      </c>
      <c r="G393" s="56">
        <f t="shared" si="36"/>
        <v>0</v>
      </c>
      <c r="H393" s="56">
        <f t="shared" si="37"/>
        <v>0</v>
      </c>
      <c r="I393" s="56">
        <f t="shared" si="38"/>
        <v>0</v>
      </c>
      <c r="J393" s="57">
        <f t="shared" si="39"/>
        <v>0</v>
      </c>
    </row>
    <row r="394" spans="1:10" x14ac:dyDescent="0.25">
      <c r="A394" s="59"/>
      <c r="B394" s="46"/>
      <c r="C394" s="44"/>
      <c r="D394" s="44"/>
      <c r="E394" s="45"/>
      <c r="F394" s="42">
        <v>18</v>
      </c>
      <c r="G394" s="56">
        <f t="shared" si="36"/>
        <v>0</v>
      </c>
      <c r="H394" s="56">
        <f t="shared" si="37"/>
        <v>0</v>
      </c>
      <c r="I394" s="56">
        <f t="shared" si="38"/>
        <v>0</v>
      </c>
      <c r="J394" s="57">
        <f t="shared" si="39"/>
        <v>0</v>
      </c>
    </row>
    <row r="395" spans="1:10" x14ac:dyDescent="0.25">
      <c r="A395" s="59"/>
      <c r="B395" s="46"/>
      <c r="C395" s="44"/>
      <c r="D395" s="44"/>
      <c r="E395" s="45"/>
      <c r="F395" s="42">
        <v>18</v>
      </c>
      <c r="G395" s="56">
        <f t="shared" si="36"/>
        <v>0</v>
      </c>
      <c r="H395" s="56">
        <f t="shared" si="37"/>
        <v>0</v>
      </c>
      <c r="I395" s="56">
        <f t="shared" si="38"/>
        <v>0</v>
      </c>
      <c r="J395" s="57">
        <f t="shared" si="39"/>
        <v>0</v>
      </c>
    </row>
    <row r="396" spans="1:10" x14ac:dyDescent="0.25">
      <c r="A396" s="59"/>
      <c r="B396" s="46"/>
      <c r="C396" s="44"/>
      <c r="D396" s="44"/>
      <c r="E396" s="45"/>
      <c r="F396" s="42">
        <v>18</v>
      </c>
      <c r="G396" s="56">
        <f t="shared" ref="G396:G459" si="40">ROUND((E396*F396%)/2,)</f>
        <v>0</v>
      </c>
      <c r="H396" s="56">
        <f t="shared" ref="H396:H459" si="41">G396</f>
        <v>0</v>
      </c>
      <c r="I396" s="56">
        <f t="shared" ref="I396:I459" si="42">G396+H396</f>
        <v>0</v>
      </c>
      <c r="J396" s="57">
        <f t="shared" ref="J396:J459" si="43">E396+I396</f>
        <v>0</v>
      </c>
    </row>
    <row r="397" spans="1:10" x14ac:dyDescent="0.25">
      <c r="A397" s="59"/>
      <c r="B397" s="46"/>
      <c r="C397" s="44"/>
      <c r="D397" s="44"/>
      <c r="E397" s="45"/>
      <c r="F397" s="42">
        <v>18</v>
      </c>
      <c r="G397" s="56">
        <f t="shared" si="40"/>
        <v>0</v>
      </c>
      <c r="H397" s="56">
        <f t="shared" si="41"/>
        <v>0</v>
      </c>
      <c r="I397" s="56">
        <f t="shared" si="42"/>
        <v>0</v>
      </c>
      <c r="J397" s="57">
        <f t="shared" si="43"/>
        <v>0</v>
      </c>
    </row>
    <row r="398" spans="1:10" x14ac:dyDescent="0.25">
      <c r="A398" s="59"/>
      <c r="B398" s="46"/>
      <c r="C398" s="44"/>
      <c r="D398" s="44"/>
      <c r="E398" s="45"/>
      <c r="F398" s="42">
        <v>18</v>
      </c>
      <c r="G398" s="56">
        <f t="shared" si="40"/>
        <v>0</v>
      </c>
      <c r="H398" s="56">
        <f t="shared" si="41"/>
        <v>0</v>
      </c>
      <c r="I398" s="56">
        <f t="shared" si="42"/>
        <v>0</v>
      </c>
      <c r="J398" s="57">
        <f t="shared" si="43"/>
        <v>0</v>
      </c>
    </row>
    <row r="399" spans="1:10" x14ac:dyDescent="0.25">
      <c r="A399" s="59"/>
      <c r="B399" s="46"/>
      <c r="C399" s="44"/>
      <c r="D399" s="44"/>
      <c r="E399" s="45"/>
      <c r="F399" s="42">
        <v>18</v>
      </c>
      <c r="G399" s="56">
        <f t="shared" si="40"/>
        <v>0</v>
      </c>
      <c r="H399" s="56">
        <f t="shared" si="41"/>
        <v>0</v>
      </c>
      <c r="I399" s="56">
        <f t="shared" si="42"/>
        <v>0</v>
      </c>
      <c r="J399" s="57">
        <f t="shared" si="43"/>
        <v>0</v>
      </c>
    </row>
    <row r="400" spans="1:10" x14ac:dyDescent="0.25">
      <c r="A400" s="59"/>
      <c r="B400" s="46"/>
      <c r="C400" s="44"/>
      <c r="D400" s="44"/>
      <c r="E400" s="45"/>
      <c r="F400" s="42">
        <v>18</v>
      </c>
      <c r="G400" s="56">
        <f t="shared" si="40"/>
        <v>0</v>
      </c>
      <c r="H400" s="56">
        <f t="shared" si="41"/>
        <v>0</v>
      </c>
      <c r="I400" s="56">
        <f t="shared" si="42"/>
        <v>0</v>
      </c>
      <c r="J400" s="57">
        <f t="shared" si="43"/>
        <v>0</v>
      </c>
    </row>
    <row r="401" spans="1:10" x14ac:dyDescent="0.25">
      <c r="A401" s="59"/>
      <c r="B401" s="46"/>
      <c r="C401" s="44"/>
      <c r="D401" s="44"/>
      <c r="E401" s="45"/>
      <c r="F401" s="42">
        <v>18</v>
      </c>
      <c r="G401" s="56">
        <f t="shared" si="40"/>
        <v>0</v>
      </c>
      <c r="H401" s="56">
        <f t="shared" si="41"/>
        <v>0</v>
      </c>
      <c r="I401" s="56">
        <f t="shared" si="42"/>
        <v>0</v>
      </c>
      <c r="J401" s="57">
        <f t="shared" si="43"/>
        <v>0</v>
      </c>
    </row>
    <row r="402" spans="1:10" x14ac:dyDescent="0.25">
      <c r="A402" s="59"/>
      <c r="B402" s="46"/>
      <c r="C402" s="44"/>
      <c r="D402" s="44"/>
      <c r="E402" s="45"/>
      <c r="F402" s="42">
        <v>18</v>
      </c>
      <c r="G402" s="56">
        <f t="shared" si="40"/>
        <v>0</v>
      </c>
      <c r="H402" s="56">
        <f t="shared" si="41"/>
        <v>0</v>
      </c>
      <c r="I402" s="56">
        <f t="shared" si="42"/>
        <v>0</v>
      </c>
      <c r="J402" s="57">
        <f t="shared" si="43"/>
        <v>0</v>
      </c>
    </row>
    <row r="403" spans="1:10" x14ac:dyDescent="0.25">
      <c r="A403" s="59"/>
      <c r="B403" s="46"/>
      <c r="C403" s="44"/>
      <c r="D403" s="44"/>
      <c r="E403" s="45"/>
      <c r="F403" s="42">
        <v>18</v>
      </c>
      <c r="G403" s="56">
        <f t="shared" si="40"/>
        <v>0</v>
      </c>
      <c r="H403" s="56">
        <f t="shared" si="41"/>
        <v>0</v>
      </c>
      <c r="I403" s="56">
        <f t="shared" si="42"/>
        <v>0</v>
      </c>
      <c r="J403" s="57">
        <f t="shared" si="43"/>
        <v>0</v>
      </c>
    </row>
    <row r="404" spans="1:10" x14ac:dyDescent="0.25">
      <c r="A404" s="59"/>
      <c r="B404" s="46"/>
      <c r="C404" s="44"/>
      <c r="D404" s="44"/>
      <c r="E404" s="45"/>
      <c r="F404" s="42">
        <v>18</v>
      </c>
      <c r="G404" s="56">
        <f t="shared" si="40"/>
        <v>0</v>
      </c>
      <c r="H404" s="56">
        <f t="shared" si="41"/>
        <v>0</v>
      </c>
      <c r="I404" s="56">
        <f t="shared" si="42"/>
        <v>0</v>
      </c>
      <c r="J404" s="57">
        <f t="shared" si="43"/>
        <v>0</v>
      </c>
    </row>
    <row r="405" spans="1:10" x14ac:dyDescent="0.25">
      <c r="A405" s="59"/>
      <c r="B405" s="46"/>
      <c r="C405" s="44"/>
      <c r="D405" s="44"/>
      <c r="E405" s="45"/>
      <c r="F405" s="42">
        <v>18</v>
      </c>
      <c r="G405" s="56">
        <f t="shared" si="40"/>
        <v>0</v>
      </c>
      <c r="H405" s="56">
        <f t="shared" si="41"/>
        <v>0</v>
      </c>
      <c r="I405" s="56">
        <f t="shared" si="42"/>
        <v>0</v>
      </c>
      <c r="J405" s="57">
        <f t="shared" si="43"/>
        <v>0</v>
      </c>
    </row>
    <row r="406" spans="1:10" x14ac:dyDescent="0.25">
      <c r="A406" s="59"/>
      <c r="B406" s="46"/>
      <c r="C406" s="44"/>
      <c r="D406" s="44"/>
      <c r="E406" s="45"/>
      <c r="F406" s="42">
        <v>18</v>
      </c>
      <c r="G406" s="56">
        <f t="shared" si="40"/>
        <v>0</v>
      </c>
      <c r="H406" s="56">
        <f t="shared" si="41"/>
        <v>0</v>
      </c>
      <c r="I406" s="56">
        <f t="shared" si="42"/>
        <v>0</v>
      </c>
      <c r="J406" s="57">
        <f t="shared" si="43"/>
        <v>0</v>
      </c>
    </row>
    <row r="407" spans="1:10" x14ac:dyDescent="0.25">
      <c r="A407" s="59"/>
      <c r="B407" s="46"/>
      <c r="C407" s="44"/>
      <c r="D407" s="44"/>
      <c r="E407" s="45"/>
      <c r="F407" s="42">
        <v>18</v>
      </c>
      <c r="G407" s="56">
        <f t="shared" si="40"/>
        <v>0</v>
      </c>
      <c r="H407" s="56">
        <f t="shared" si="41"/>
        <v>0</v>
      </c>
      <c r="I407" s="56">
        <f t="shared" si="42"/>
        <v>0</v>
      </c>
      <c r="J407" s="57">
        <f t="shared" si="43"/>
        <v>0</v>
      </c>
    </row>
    <row r="408" spans="1:10" x14ac:dyDescent="0.25">
      <c r="A408" s="59"/>
      <c r="B408" s="46"/>
      <c r="C408" s="44"/>
      <c r="D408" s="44"/>
      <c r="E408" s="45"/>
      <c r="F408" s="42">
        <v>18</v>
      </c>
      <c r="G408" s="56">
        <f t="shared" si="40"/>
        <v>0</v>
      </c>
      <c r="H408" s="56">
        <f t="shared" si="41"/>
        <v>0</v>
      </c>
      <c r="I408" s="56">
        <f t="shared" si="42"/>
        <v>0</v>
      </c>
      <c r="J408" s="57">
        <f t="shared" si="43"/>
        <v>0</v>
      </c>
    </row>
    <row r="409" spans="1:10" x14ac:dyDescent="0.25">
      <c r="A409" s="59"/>
      <c r="B409" s="46"/>
      <c r="C409" s="44"/>
      <c r="D409" s="44"/>
      <c r="E409" s="45"/>
      <c r="F409" s="42">
        <v>18</v>
      </c>
      <c r="G409" s="56">
        <f t="shared" si="40"/>
        <v>0</v>
      </c>
      <c r="H409" s="56">
        <f t="shared" si="41"/>
        <v>0</v>
      </c>
      <c r="I409" s="56">
        <f t="shared" si="42"/>
        <v>0</v>
      </c>
      <c r="J409" s="57">
        <f t="shared" si="43"/>
        <v>0</v>
      </c>
    </row>
    <row r="410" spans="1:10" x14ac:dyDescent="0.25">
      <c r="A410" s="59"/>
      <c r="B410" s="46"/>
      <c r="C410" s="44"/>
      <c r="D410" s="44"/>
      <c r="E410" s="45"/>
      <c r="F410" s="42">
        <v>18</v>
      </c>
      <c r="G410" s="56">
        <f t="shared" si="40"/>
        <v>0</v>
      </c>
      <c r="H410" s="56">
        <f t="shared" si="41"/>
        <v>0</v>
      </c>
      <c r="I410" s="56">
        <f t="shared" si="42"/>
        <v>0</v>
      </c>
      <c r="J410" s="57">
        <f t="shared" si="43"/>
        <v>0</v>
      </c>
    </row>
    <row r="411" spans="1:10" x14ac:dyDescent="0.25">
      <c r="A411" s="59"/>
      <c r="B411" s="46"/>
      <c r="C411" s="44"/>
      <c r="D411" s="44"/>
      <c r="E411" s="45"/>
      <c r="F411" s="42">
        <v>18</v>
      </c>
      <c r="G411" s="56">
        <f t="shared" si="40"/>
        <v>0</v>
      </c>
      <c r="H411" s="56">
        <f t="shared" si="41"/>
        <v>0</v>
      </c>
      <c r="I411" s="56">
        <f t="shared" si="42"/>
        <v>0</v>
      </c>
      <c r="J411" s="57">
        <f t="shared" si="43"/>
        <v>0</v>
      </c>
    </row>
    <row r="412" spans="1:10" x14ac:dyDescent="0.25">
      <c r="A412" s="59"/>
      <c r="B412" s="46"/>
      <c r="C412" s="44"/>
      <c r="D412" s="44"/>
      <c r="E412" s="45"/>
      <c r="F412" s="42">
        <v>18</v>
      </c>
      <c r="G412" s="56">
        <f t="shared" si="40"/>
        <v>0</v>
      </c>
      <c r="H412" s="56">
        <f t="shared" si="41"/>
        <v>0</v>
      </c>
      <c r="I412" s="56">
        <f t="shared" si="42"/>
        <v>0</v>
      </c>
      <c r="J412" s="57">
        <f t="shared" si="43"/>
        <v>0</v>
      </c>
    </row>
    <row r="413" spans="1:10" x14ac:dyDescent="0.25">
      <c r="A413" s="59"/>
      <c r="B413" s="46"/>
      <c r="C413" s="44"/>
      <c r="D413" s="44"/>
      <c r="E413" s="45"/>
      <c r="F413" s="42">
        <v>18</v>
      </c>
      <c r="G413" s="56">
        <f t="shared" si="40"/>
        <v>0</v>
      </c>
      <c r="H413" s="56">
        <f t="shared" si="41"/>
        <v>0</v>
      </c>
      <c r="I413" s="56">
        <f t="shared" si="42"/>
        <v>0</v>
      </c>
      <c r="J413" s="57">
        <f t="shared" si="43"/>
        <v>0</v>
      </c>
    </row>
    <row r="414" spans="1:10" x14ac:dyDescent="0.25">
      <c r="A414" s="59"/>
      <c r="B414" s="46"/>
      <c r="C414" s="44"/>
      <c r="D414" s="44"/>
      <c r="E414" s="45"/>
      <c r="F414" s="42">
        <v>18</v>
      </c>
      <c r="G414" s="56">
        <f t="shared" si="40"/>
        <v>0</v>
      </c>
      <c r="H414" s="56">
        <f t="shared" si="41"/>
        <v>0</v>
      </c>
      <c r="I414" s="56">
        <f t="shared" si="42"/>
        <v>0</v>
      </c>
      <c r="J414" s="57">
        <f t="shared" si="43"/>
        <v>0</v>
      </c>
    </row>
    <row r="415" spans="1:10" x14ac:dyDescent="0.25">
      <c r="A415" s="59"/>
      <c r="B415" s="46"/>
      <c r="C415" s="44"/>
      <c r="D415" s="44"/>
      <c r="E415" s="45"/>
      <c r="F415" s="42">
        <v>18</v>
      </c>
      <c r="G415" s="56">
        <f t="shared" si="40"/>
        <v>0</v>
      </c>
      <c r="H415" s="56">
        <f t="shared" si="41"/>
        <v>0</v>
      </c>
      <c r="I415" s="56">
        <f t="shared" si="42"/>
        <v>0</v>
      </c>
      <c r="J415" s="57">
        <f t="shared" si="43"/>
        <v>0</v>
      </c>
    </row>
    <row r="416" spans="1:10" x14ac:dyDescent="0.25">
      <c r="A416" s="59"/>
      <c r="B416" s="46"/>
      <c r="C416" s="44"/>
      <c r="D416" s="44"/>
      <c r="E416" s="45"/>
      <c r="F416" s="42">
        <v>18</v>
      </c>
      <c r="G416" s="56">
        <f t="shared" si="40"/>
        <v>0</v>
      </c>
      <c r="H416" s="56">
        <f t="shared" si="41"/>
        <v>0</v>
      </c>
      <c r="I416" s="56">
        <f t="shared" si="42"/>
        <v>0</v>
      </c>
      <c r="J416" s="57">
        <f t="shared" si="43"/>
        <v>0</v>
      </c>
    </row>
    <row r="417" spans="1:10" x14ac:dyDescent="0.25">
      <c r="A417" s="59"/>
      <c r="B417" s="46"/>
      <c r="C417" s="44"/>
      <c r="D417" s="44"/>
      <c r="E417" s="45"/>
      <c r="F417" s="42">
        <v>18</v>
      </c>
      <c r="G417" s="56">
        <f t="shared" si="40"/>
        <v>0</v>
      </c>
      <c r="H417" s="56">
        <f t="shared" si="41"/>
        <v>0</v>
      </c>
      <c r="I417" s="56">
        <f t="shared" si="42"/>
        <v>0</v>
      </c>
      <c r="J417" s="57">
        <f t="shared" si="43"/>
        <v>0</v>
      </c>
    </row>
    <row r="418" spans="1:10" x14ac:dyDescent="0.25">
      <c r="A418" s="59"/>
      <c r="B418" s="46"/>
      <c r="C418" s="44"/>
      <c r="D418" s="44"/>
      <c r="E418" s="45"/>
      <c r="F418" s="42">
        <v>18</v>
      </c>
      <c r="G418" s="56">
        <f t="shared" si="40"/>
        <v>0</v>
      </c>
      <c r="H418" s="56">
        <f t="shared" si="41"/>
        <v>0</v>
      </c>
      <c r="I418" s="56">
        <f t="shared" si="42"/>
        <v>0</v>
      </c>
      <c r="J418" s="57">
        <f t="shared" si="43"/>
        <v>0</v>
      </c>
    </row>
    <row r="419" spans="1:10" x14ac:dyDescent="0.25">
      <c r="A419" s="59"/>
      <c r="B419" s="46"/>
      <c r="C419" s="44"/>
      <c r="D419" s="44"/>
      <c r="E419" s="45"/>
      <c r="F419" s="42">
        <v>18</v>
      </c>
      <c r="G419" s="56">
        <f t="shared" si="40"/>
        <v>0</v>
      </c>
      <c r="H419" s="56">
        <f t="shared" si="41"/>
        <v>0</v>
      </c>
      <c r="I419" s="56">
        <f t="shared" si="42"/>
        <v>0</v>
      </c>
      <c r="J419" s="57">
        <f t="shared" si="43"/>
        <v>0</v>
      </c>
    </row>
    <row r="420" spans="1:10" x14ac:dyDescent="0.25">
      <c r="A420" s="59"/>
      <c r="B420" s="46"/>
      <c r="C420" s="44"/>
      <c r="D420" s="44"/>
      <c r="E420" s="45"/>
      <c r="F420" s="42">
        <v>18</v>
      </c>
      <c r="G420" s="56">
        <f t="shared" si="40"/>
        <v>0</v>
      </c>
      <c r="H420" s="56">
        <f t="shared" si="41"/>
        <v>0</v>
      </c>
      <c r="I420" s="56">
        <f t="shared" si="42"/>
        <v>0</v>
      </c>
      <c r="J420" s="57">
        <f t="shared" si="43"/>
        <v>0</v>
      </c>
    </row>
    <row r="421" spans="1:10" x14ac:dyDescent="0.25">
      <c r="A421" s="59"/>
      <c r="B421" s="46"/>
      <c r="C421" s="44"/>
      <c r="D421" s="44"/>
      <c r="E421" s="45"/>
      <c r="F421" s="42">
        <v>18</v>
      </c>
      <c r="G421" s="56">
        <f t="shared" si="40"/>
        <v>0</v>
      </c>
      <c r="H421" s="56">
        <f t="shared" si="41"/>
        <v>0</v>
      </c>
      <c r="I421" s="56">
        <f t="shared" si="42"/>
        <v>0</v>
      </c>
      <c r="J421" s="57">
        <f t="shared" si="43"/>
        <v>0</v>
      </c>
    </row>
    <row r="422" spans="1:10" x14ac:dyDescent="0.25">
      <c r="A422" s="59"/>
      <c r="B422" s="46"/>
      <c r="C422" s="44"/>
      <c r="D422" s="44"/>
      <c r="E422" s="45"/>
      <c r="F422" s="42">
        <v>18</v>
      </c>
      <c r="G422" s="56">
        <f t="shared" si="40"/>
        <v>0</v>
      </c>
      <c r="H422" s="56">
        <f t="shared" si="41"/>
        <v>0</v>
      </c>
      <c r="I422" s="56">
        <f t="shared" si="42"/>
        <v>0</v>
      </c>
      <c r="J422" s="57">
        <f t="shared" si="43"/>
        <v>0</v>
      </c>
    </row>
    <row r="423" spans="1:10" x14ac:dyDescent="0.25">
      <c r="A423" s="59"/>
      <c r="B423" s="46"/>
      <c r="C423" s="44"/>
      <c r="D423" s="44"/>
      <c r="E423" s="45"/>
      <c r="F423" s="42">
        <v>18</v>
      </c>
      <c r="G423" s="56">
        <f t="shared" si="40"/>
        <v>0</v>
      </c>
      <c r="H423" s="56">
        <f t="shared" si="41"/>
        <v>0</v>
      </c>
      <c r="I423" s="56">
        <f t="shared" si="42"/>
        <v>0</v>
      </c>
      <c r="J423" s="57">
        <f t="shared" si="43"/>
        <v>0</v>
      </c>
    </row>
    <row r="424" spans="1:10" x14ac:dyDescent="0.25">
      <c r="A424" s="59"/>
      <c r="B424" s="46"/>
      <c r="C424" s="44"/>
      <c r="D424" s="44"/>
      <c r="E424" s="45"/>
      <c r="F424" s="42">
        <v>18</v>
      </c>
      <c r="G424" s="56">
        <f t="shared" si="40"/>
        <v>0</v>
      </c>
      <c r="H424" s="56">
        <f t="shared" si="41"/>
        <v>0</v>
      </c>
      <c r="I424" s="56">
        <f t="shared" si="42"/>
        <v>0</v>
      </c>
      <c r="J424" s="57">
        <f t="shared" si="43"/>
        <v>0</v>
      </c>
    </row>
    <row r="425" spans="1:10" x14ac:dyDescent="0.25">
      <c r="A425" s="59"/>
      <c r="B425" s="46"/>
      <c r="C425" s="44"/>
      <c r="D425" s="44"/>
      <c r="E425" s="45"/>
      <c r="F425" s="42">
        <v>18</v>
      </c>
      <c r="G425" s="56">
        <f t="shared" si="40"/>
        <v>0</v>
      </c>
      <c r="H425" s="56">
        <f t="shared" si="41"/>
        <v>0</v>
      </c>
      <c r="I425" s="56">
        <f t="shared" si="42"/>
        <v>0</v>
      </c>
      <c r="J425" s="57">
        <f t="shared" si="43"/>
        <v>0</v>
      </c>
    </row>
    <row r="426" spans="1:10" x14ac:dyDescent="0.25">
      <c r="A426" s="59"/>
      <c r="B426" s="46"/>
      <c r="C426" s="44"/>
      <c r="D426" s="44"/>
      <c r="E426" s="45"/>
      <c r="F426" s="42">
        <v>18</v>
      </c>
      <c r="G426" s="56">
        <f t="shared" si="40"/>
        <v>0</v>
      </c>
      <c r="H426" s="56">
        <f t="shared" si="41"/>
        <v>0</v>
      </c>
      <c r="I426" s="56">
        <f t="shared" si="42"/>
        <v>0</v>
      </c>
      <c r="J426" s="57">
        <f t="shared" si="43"/>
        <v>0</v>
      </c>
    </row>
    <row r="427" spans="1:10" x14ac:dyDescent="0.25">
      <c r="A427" s="59"/>
      <c r="B427" s="46"/>
      <c r="C427" s="44"/>
      <c r="D427" s="44"/>
      <c r="E427" s="45"/>
      <c r="F427" s="42">
        <v>18</v>
      </c>
      <c r="G427" s="56">
        <f t="shared" si="40"/>
        <v>0</v>
      </c>
      <c r="H427" s="56">
        <f t="shared" si="41"/>
        <v>0</v>
      </c>
      <c r="I427" s="56">
        <f t="shared" si="42"/>
        <v>0</v>
      </c>
      <c r="J427" s="57">
        <f t="shared" si="43"/>
        <v>0</v>
      </c>
    </row>
    <row r="428" spans="1:10" x14ac:dyDescent="0.25">
      <c r="A428" s="59"/>
      <c r="B428" s="46"/>
      <c r="C428" s="44"/>
      <c r="D428" s="44"/>
      <c r="E428" s="45"/>
      <c r="F428" s="42">
        <v>18</v>
      </c>
      <c r="G428" s="56">
        <f t="shared" si="40"/>
        <v>0</v>
      </c>
      <c r="H428" s="56">
        <f t="shared" si="41"/>
        <v>0</v>
      </c>
      <c r="I428" s="56">
        <f t="shared" si="42"/>
        <v>0</v>
      </c>
      <c r="J428" s="57">
        <f t="shared" si="43"/>
        <v>0</v>
      </c>
    </row>
    <row r="429" spans="1:10" x14ac:dyDescent="0.25">
      <c r="A429" s="59"/>
      <c r="B429" s="46"/>
      <c r="C429" s="44"/>
      <c r="D429" s="44"/>
      <c r="E429" s="45"/>
      <c r="F429" s="42">
        <v>18</v>
      </c>
      <c r="G429" s="56">
        <f t="shared" si="40"/>
        <v>0</v>
      </c>
      <c r="H429" s="56">
        <f t="shared" si="41"/>
        <v>0</v>
      </c>
      <c r="I429" s="56">
        <f t="shared" si="42"/>
        <v>0</v>
      </c>
      <c r="J429" s="57">
        <f t="shared" si="43"/>
        <v>0</v>
      </c>
    </row>
    <row r="430" spans="1:10" x14ac:dyDescent="0.25">
      <c r="A430" s="59"/>
      <c r="B430" s="46"/>
      <c r="C430" s="44"/>
      <c r="D430" s="44"/>
      <c r="E430" s="45"/>
      <c r="F430" s="42">
        <v>18</v>
      </c>
      <c r="G430" s="56">
        <f t="shared" si="40"/>
        <v>0</v>
      </c>
      <c r="H430" s="56">
        <f t="shared" si="41"/>
        <v>0</v>
      </c>
      <c r="I430" s="56">
        <f t="shared" si="42"/>
        <v>0</v>
      </c>
      <c r="J430" s="57">
        <f t="shared" si="43"/>
        <v>0</v>
      </c>
    </row>
    <row r="431" spans="1:10" x14ac:dyDescent="0.25">
      <c r="A431" s="59"/>
      <c r="B431" s="46"/>
      <c r="C431" s="44"/>
      <c r="D431" s="44"/>
      <c r="E431" s="45"/>
      <c r="F431" s="42">
        <v>18</v>
      </c>
      <c r="G431" s="56">
        <f t="shared" si="40"/>
        <v>0</v>
      </c>
      <c r="H431" s="56">
        <f t="shared" si="41"/>
        <v>0</v>
      </c>
      <c r="I431" s="56">
        <f t="shared" si="42"/>
        <v>0</v>
      </c>
      <c r="J431" s="57">
        <f t="shared" si="43"/>
        <v>0</v>
      </c>
    </row>
    <row r="432" spans="1:10" x14ac:dyDescent="0.25">
      <c r="A432" s="59"/>
      <c r="B432" s="46"/>
      <c r="C432" s="44"/>
      <c r="D432" s="44"/>
      <c r="E432" s="45"/>
      <c r="F432" s="42">
        <v>18</v>
      </c>
      <c r="G432" s="56">
        <f t="shared" si="40"/>
        <v>0</v>
      </c>
      <c r="H432" s="56">
        <f t="shared" si="41"/>
        <v>0</v>
      </c>
      <c r="I432" s="56">
        <f t="shared" si="42"/>
        <v>0</v>
      </c>
      <c r="J432" s="57">
        <f t="shared" si="43"/>
        <v>0</v>
      </c>
    </row>
    <row r="433" spans="1:10" x14ac:dyDescent="0.25">
      <c r="A433" s="59"/>
      <c r="B433" s="46"/>
      <c r="C433" s="44"/>
      <c r="D433" s="44"/>
      <c r="E433" s="45"/>
      <c r="F433" s="42">
        <v>18</v>
      </c>
      <c r="G433" s="56">
        <f t="shared" si="40"/>
        <v>0</v>
      </c>
      <c r="H433" s="56">
        <f t="shared" si="41"/>
        <v>0</v>
      </c>
      <c r="I433" s="56">
        <f t="shared" si="42"/>
        <v>0</v>
      </c>
      <c r="J433" s="57">
        <f t="shared" si="43"/>
        <v>0</v>
      </c>
    </row>
    <row r="434" spans="1:10" x14ac:dyDescent="0.25">
      <c r="A434" s="59"/>
      <c r="B434" s="46"/>
      <c r="C434" s="44"/>
      <c r="D434" s="44"/>
      <c r="E434" s="45"/>
      <c r="F434" s="42">
        <v>18</v>
      </c>
      <c r="G434" s="56">
        <f t="shared" si="40"/>
        <v>0</v>
      </c>
      <c r="H434" s="56">
        <f t="shared" si="41"/>
        <v>0</v>
      </c>
      <c r="I434" s="56">
        <f t="shared" si="42"/>
        <v>0</v>
      </c>
      <c r="J434" s="57">
        <f t="shared" si="43"/>
        <v>0</v>
      </c>
    </row>
    <row r="435" spans="1:10" x14ac:dyDescent="0.25">
      <c r="A435" s="59"/>
      <c r="B435" s="46"/>
      <c r="C435" s="44"/>
      <c r="D435" s="44"/>
      <c r="E435" s="45"/>
      <c r="F435" s="42">
        <v>18</v>
      </c>
      <c r="G435" s="56">
        <f t="shared" si="40"/>
        <v>0</v>
      </c>
      <c r="H435" s="56">
        <f t="shared" si="41"/>
        <v>0</v>
      </c>
      <c r="I435" s="56">
        <f t="shared" si="42"/>
        <v>0</v>
      </c>
      <c r="J435" s="57">
        <f t="shared" si="43"/>
        <v>0</v>
      </c>
    </row>
    <row r="436" spans="1:10" x14ac:dyDescent="0.25">
      <c r="A436" s="59"/>
      <c r="B436" s="46"/>
      <c r="C436" s="44"/>
      <c r="D436" s="44"/>
      <c r="E436" s="45"/>
      <c r="F436" s="42">
        <v>18</v>
      </c>
      <c r="G436" s="56">
        <f t="shared" si="40"/>
        <v>0</v>
      </c>
      <c r="H436" s="56">
        <f t="shared" si="41"/>
        <v>0</v>
      </c>
      <c r="I436" s="56">
        <f t="shared" si="42"/>
        <v>0</v>
      </c>
      <c r="J436" s="57">
        <f t="shared" si="43"/>
        <v>0</v>
      </c>
    </row>
    <row r="437" spans="1:10" x14ac:dyDescent="0.25">
      <c r="A437" s="59"/>
      <c r="B437" s="46"/>
      <c r="C437" s="44"/>
      <c r="D437" s="44"/>
      <c r="E437" s="45"/>
      <c r="F437" s="42">
        <v>18</v>
      </c>
      <c r="G437" s="56">
        <f t="shared" si="40"/>
        <v>0</v>
      </c>
      <c r="H437" s="56">
        <f t="shared" si="41"/>
        <v>0</v>
      </c>
      <c r="I437" s="56">
        <f t="shared" si="42"/>
        <v>0</v>
      </c>
      <c r="J437" s="57">
        <f t="shared" si="43"/>
        <v>0</v>
      </c>
    </row>
    <row r="438" spans="1:10" x14ac:dyDescent="0.25">
      <c r="A438" s="59"/>
      <c r="B438" s="46"/>
      <c r="C438" s="44"/>
      <c r="D438" s="44"/>
      <c r="E438" s="45"/>
      <c r="F438" s="42">
        <v>18</v>
      </c>
      <c r="G438" s="56">
        <f t="shared" si="40"/>
        <v>0</v>
      </c>
      <c r="H438" s="56">
        <f t="shared" si="41"/>
        <v>0</v>
      </c>
      <c r="I438" s="56">
        <f t="shared" si="42"/>
        <v>0</v>
      </c>
      <c r="J438" s="57">
        <f t="shared" si="43"/>
        <v>0</v>
      </c>
    </row>
    <row r="439" spans="1:10" x14ac:dyDescent="0.25">
      <c r="A439" s="59"/>
      <c r="B439" s="46"/>
      <c r="C439" s="44"/>
      <c r="D439" s="44"/>
      <c r="E439" s="45"/>
      <c r="F439" s="42">
        <v>18</v>
      </c>
      <c r="G439" s="56">
        <f t="shared" si="40"/>
        <v>0</v>
      </c>
      <c r="H439" s="56">
        <f t="shared" si="41"/>
        <v>0</v>
      </c>
      <c r="I439" s="56">
        <f t="shared" si="42"/>
        <v>0</v>
      </c>
      <c r="J439" s="57">
        <f t="shared" si="43"/>
        <v>0</v>
      </c>
    </row>
    <row r="440" spans="1:10" x14ac:dyDescent="0.25">
      <c r="A440" s="59"/>
      <c r="B440" s="46"/>
      <c r="C440" s="44"/>
      <c r="D440" s="44"/>
      <c r="E440" s="45"/>
      <c r="F440" s="42">
        <v>18</v>
      </c>
      <c r="G440" s="56">
        <f t="shared" si="40"/>
        <v>0</v>
      </c>
      <c r="H440" s="56">
        <f t="shared" si="41"/>
        <v>0</v>
      </c>
      <c r="I440" s="56">
        <f t="shared" si="42"/>
        <v>0</v>
      </c>
      <c r="J440" s="57">
        <f t="shared" si="43"/>
        <v>0</v>
      </c>
    </row>
    <row r="441" spans="1:10" x14ac:dyDescent="0.25">
      <c r="A441" s="59"/>
      <c r="B441" s="46"/>
      <c r="C441" s="44"/>
      <c r="D441" s="44"/>
      <c r="E441" s="45"/>
      <c r="F441" s="42">
        <v>18</v>
      </c>
      <c r="G441" s="56">
        <f t="shared" si="40"/>
        <v>0</v>
      </c>
      <c r="H441" s="56">
        <f t="shared" si="41"/>
        <v>0</v>
      </c>
      <c r="I441" s="56">
        <f t="shared" si="42"/>
        <v>0</v>
      </c>
      <c r="J441" s="57">
        <f t="shared" si="43"/>
        <v>0</v>
      </c>
    </row>
    <row r="442" spans="1:10" x14ac:dyDescent="0.25">
      <c r="A442" s="59"/>
      <c r="B442" s="46"/>
      <c r="C442" s="44"/>
      <c r="D442" s="44"/>
      <c r="E442" s="45"/>
      <c r="F442" s="42">
        <v>18</v>
      </c>
      <c r="G442" s="56">
        <f t="shared" si="40"/>
        <v>0</v>
      </c>
      <c r="H442" s="56">
        <f t="shared" si="41"/>
        <v>0</v>
      </c>
      <c r="I442" s="56">
        <f t="shared" si="42"/>
        <v>0</v>
      </c>
      <c r="J442" s="57">
        <f t="shared" si="43"/>
        <v>0</v>
      </c>
    </row>
    <row r="443" spans="1:10" x14ac:dyDescent="0.25">
      <c r="A443" s="59"/>
      <c r="B443" s="46"/>
      <c r="C443" s="44"/>
      <c r="D443" s="44"/>
      <c r="E443" s="45"/>
      <c r="F443" s="42">
        <v>18</v>
      </c>
      <c r="G443" s="56">
        <f t="shared" si="40"/>
        <v>0</v>
      </c>
      <c r="H443" s="56">
        <f t="shared" si="41"/>
        <v>0</v>
      </c>
      <c r="I443" s="56">
        <f t="shared" si="42"/>
        <v>0</v>
      </c>
      <c r="J443" s="57">
        <f t="shared" si="43"/>
        <v>0</v>
      </c>
    </row>
    <row r="444" spans="1:10" x14ac:dyDescent="0.25">
      <c r="A444" s="59"/>
      <c r="B444" s="46"/>
      <c r="C444" s="44"/>
      <c r="D444" s="44"/>
      <c r="E444" s="45"/>
      <c r="F444" s="42">
        <v>18</v>
      </c>
      <c r="G444" s="56">
        <f t="shared" si="40"/>
        <v>0</v>
      </c>
      <c r="H444" s="56">
        <f t="shared" si="41"/>
        <v>0</v>
      </c>
      <c r="I444" s="56">
        <f t="shared" si="42"/>
        <v>0</v>
      </c>
      <c r="J444" s="57">
        <f t="shared" si="43"/>
        <v>0</v>
      </c>
    </row>
    <row r="445" spans="1:10" x14ac:dyDescent="0.25">
      <c r="A445" s="59"/>
      <c r="B445" s="46"/>
      <c r="C445" s="44"/>
      <c r="D445" s="44"/>
      <c r="E445" s="45"/>
      <c r="F445" s="42">
        <v>18</v>
      </c>
      <c r="G445" s="56">
        <f t="shared" si="40"/>
        <v>0</v>
      </c>
      <c r="H445" s="56">
        <f t="shared" si="41"/>
        <v>0</v>
      </c>
      <c r="I445" s="56">
        <f t="shared" si="42"/>
        <v>0</v>
      </c>
      <c r="J445" s="57">
        <f t="shared" si="43"/>
        <v>0</v>
      </c>
    </row>
    <row r="446" spans="1:10" x14ac:dyDescent="0.25">
      <c r="A446" s="59"/>
      <c r="B446" s="46"/>
      <c r="C446" s="44"/>
      <c r="D446" s="44"/>
      <c r="E446" s="45"/>
      <c r="F446" s="42">
        <v>18</v>
      </c>
      <c r="G446" s="56">
        <f t="shared" si="40"/>
        <v>0</v>
      </c>
      <c r="H446" s="56">
        <f t="shared" si="41"/>
        <v>0</v>
      </c>
      <c r="I446" s="56">
        <f t="shared" si="42"/>
        <v>0</v>
      </c>
      <c r="J446" s="57">
        <f t="shared" si="43"/>
        <v>0</v>
      </c>
    </row>
    <row r="447" spans="1:10" x14ac:dyDescent="0.25">
      <c r="A447" s="59"/>
      <c r="B447" s="46"/>
      <c r="C447" s="44"/>
      <c r="D447" s="44"/>
      <c r="E447" s="45"/>
      <c r="F447" s="42">
        <v>18</v>
      </c>
      <c r="G447" s="56">
        <f t="shared" si="40"/>
        <v>0</v>
      </c>
      <c r="H447" s="56">
        <f t="shared" si="41"/>
        <v>0</v>
      </c>
      <c r="I447" s="56">
        <f t="shared" si="42"/>
        <v>0</v>
      </c>
      <c r="J447" s="57">
        <f t="shared" si="43"/>
        <v>0</v>
      </c>
    </row>
    <row r="448" spans="1:10" x14ac:dyDescent="0.25">
      <c r="A448" s="59"/>
      <c r="B448" s="46"/>
      <c r="C448" s="44"/>
      <c r="D448" s="44"/>
      <c r="E448" s="45"/>
      <c r="F448" s="42">
        <v>18</v>
      </c>
      <c r="G448" s="56">
        <f t="shared" si="40"/>
        <v>0</v>
      </c>
      <c r="H448" s="56">
        <f t="shared" si="41"/>
        <v>0</v>
      </c>
      <c r="I448" s="56">
        <f t="shared" si="42"/>
        <v>0</v>
      </c>
      <c r="J448" s="57">
        <f t="shared" si="43"/>
        <v>0</v>
      </c>
    </row>
    <row r="449" spans="1:10" x14ac:dyDescent="0.25">
      <c r="A449" s="59"/>
      <c r="B449" s="46"/>
      <c r="C449" s="44"/>
      <c r="D449" s="44"/>
      <c r="E449" s="45"/>
      <c r="F449" s="42">
        <v>18</v>
      </c>
      <c r="G449" s="56">
        <f t="shared" si="40"/>
        <v>0</v>
      </c>
      <c r="H449" s="56">
        <f t="shared" si="41"/>
        <v>0</v>
      </c>
      <c r="I449" s="56">
        <f t="shared" si="42"/>
        <v>0</v>
      </c>
      <c r="J449" s="57">
        <f t="shared" si="43"/>
        <v>0</v>
      </c>
    </row>
    <row r="450" spans="1:10" x14ac:dyDescent="0.25">
      <c r="A450" s="59"/>
      <c r="B450" s="46"/>
      <c r="C450" s="44"/>
      <c r="D450" s="44"/>
      <c r="E450" s="45"/>
      <c r="F450" s="42">
        <v>18</v>
      </c>
      <c r="G450" s="56">
        <f t="shared" si="40"/>
        <v>0</v>
      </c>
      <c r="H450" s="56">
        <f t="shared" si="41"/>
        <v>0</v>
      </c>
      <c r="I450" s="56">
        <f t="shared" si="42"/>
        <v>0</v>
      </c>
      <c r="J450" s="57">
        <f t="shared" si="43"/>
        <v>0</v>
      </c>
    </row>
    <row r="451" spans="1:10" x14ac:dyDescent="0.25">
      <c r="A451" s="59"/>
      <c r="B451" s="46"/>
      <c r="C451" s="44"/>
      <c r="D451" s="44"/>
      <c r="E451" s="45"/>
      <c r="F451" s="42">
        <v>18</v>
      </c>
      <c r="G451" s="56">
        <f t="shared" si="40"/>
        <v>0</v>
      </c>
      <c r="H451" s="56">
        <f t="shared" si="41"/>
        <v>0</v>
      </c>
      <c r="I451" s="56">
        <f t="shared" si="42"/>
        <v>0</v>
      </c>
      <c r="J451" s="57">
        <f t="shared" si="43"/>
        <v>0</v>
      </c>
    </row>
    <row r="452" spans="1:10" x14ac:dyDescent="0.25">
      <c r="A452" s="59"/>
      <c r="B452" s="46"/>
      <c r="C452" s="44"/>
      <c r="D452" s="44"/>
      <c r="E452" s="45"/>
      <c r="F452" s="42">
        <v>18</v>
      </c>
      <c r="G452" s="56">
        <f t="shared" si="40"/>
        <v>0</v>
      </c>
      <c r="H452" s="56">
        <f t="shared" si="41"/>
        <v>0</v>
      </c>
      <c r="I452" s="56">
        <f t="shared" si="42"/>
        <v>0</v>
      </c>
      <c r="J452" s="57">
        <f t="shared" si="43"/>
        <v>0</v>
      </c>
    </row>
    <row r="453" spans="1:10" x14ac:dyDescent="0.25">
      <c r="A453" s="59"/>
      <c r="B453" s="46"/>
      <c r="C453" s="44"/>
      <c r="D453" s="44"/>
      <c r="E453" s="45"/>
      <c r="F453" s="42">
        <v>18</v>
      </c>
      <c r="G453" s="56">
        <f t="shared" si="40"/>
        <v>0</v>
      </c>
      <c r="H453" s="56">
        <f t="shared" si="41"/>
        <v>0</v>
      </c>
      <c r="I453" s="56">
        <f t="shared" si="42"/>
        <v>0</v>
      </c>
      <c r="J453" s="57">
        <f t="shared" si="43"/>
        <v>0</v>
      </c>
    </row>
    <row r="454" spans="1:10" x14ac:dyDescent="0.25">
      <c r="A454" s="59"/>
      <c r="B454" s="46"/>
      <c r="C454" s="44"/>
      <c r="D454" s="44"/>
      <c r="E454" s="45"/>
      <c r="F454" s="42">
        <v>18</v>
      </c>
      <c r="G454" s="56">
        <f t="shared" si="40"/>
        <v>0</v>
      </c>
      <c r="H454" s="56">
        <f t="shared" si="41"/>
        <v>0</v>
      </c>
      <c r="I454" s="56">
        <f t="shared" si="42"/>
        <v>0</v>
      </c>
      <c r="J454" s="57">
        <f t="shared" si="43"/>
        <v>0</v>
      </c>
    </row>
    <row r="455" spans="1:10" x14ac:dyDescent="0.25">
      <c r="A455" s="59"/>
      <c r="B455" s="46"/>
      <c r="C455" s="44"/>
      <c r="D455" s="44"/>
      <c r="E455" s="45"/>
      <c r="F455" s="42">
        <v>18</v>
      </c>
      <c r="G455" s="56">
        <f t="shared" si="40"/>
        <v>0</v>
      </c>
      <c r="H455" s="56">
        <f t="shared" si="41"/>
        <v>0</v>
      </c>
      <c r="I455" s="56">
        <f t="shared" si="42"/>
        <v>0</v>
      </c>
      <c r="J455" s="57">
        <f t="shared" si="43"/>
        <v>0</v>
      </c>
    </row>
    <row r="456" spans="1:10" x14ac:dyDescent="0.25">
      <c r="A456" s="59"/>
      <c r="B456" s="46"/>
      <c r="C456" s="44"/>
      <c r="D456" s="44"/>
      <c r="E456" s="45"/>
      <c r="F456" s="42">
        <v>18</v>
      </c>
      <c r="G456" s="56">
        <f t="shared" si="40"/>
        <v>0</v>
      </c>
      <c r="H456" s="56">
        <f t="shared" si="41"/>
        <v>0</v>
      </c>
      <c r="I456" s="56">
        <f t="shared" si="42"/>
        <v>0</v>
      </c>
      <c r="J456" s="57">
        <f t="shared" si="43"/>
        <v>0</v>
      </c>
    </row>
    <row r="457" spans="1:10" x14ac:dyDescent="0.25">
      <c r="A457" s="59"/>
      <c r="B457" s="46"/>
      <c r="C457" s="44"/>
      <c r="D457" s="44"/>
      <c r="E457" s="45"/>
      <c r="F457" s="42">
        <v>18</v>
      </c>
      <c r="G457" s="56">
        <f t="shared" si="40"/>
        <v>0</v>
      </c>
      <c r="H457" s="56">
        <f t="shared" si="41"/>
        <v>0</v>
      </c>
      <c r="I457" s="56">
        <f t="shared" si="42"/>
        <v>0</v>
      </c>
      <c r="J457" s="57">
        <f t="shared" si="43"/>
        <v>0</v>
      </c>
    </row>
    <row r="458" spans="1:10" x14ac:dyDescent="0.25">
      <c r="A458" s="59"/>
      <c r="B458" s="46"/>
      <c r="C458" s="44"/>
      <c r="D458" s="44"/>
      <c r="E458" s="45"/>
      <c r="F458" s="42">
        <v>18</v>
      </c>
      <c r="G458" s="56">
        <f t="shared" si="40"/>
        <v>0</v>
      </c>
      <c r="H458" s="56">
        <f t="shared" si="41"/>
        <v>0</v>
      </c>
      <c r="I458" s="56">
        <f t="shared" si="42"/>
        <v>0</v>
      </c>
      <c r="J458" s="57">
        <f t="shared" si="43"/>
        <v>0</v>
      </c>
    </row>
    <row r="459" spans="1:10" x14ac:dyDescent="0.25">
      <c r="A459" s="59"/>
      <c r="B459" s="46"/>
      <c r="C459" s="44"/>
      <c r="D459" s="44"/>
      <c r="E459" s="45"/>
      <c r="F459" s="42">
        <v>18</v>
      </c>
      <c r="G459" s="56">
        <f t="shared" si="40"/>
        <v>0</v>
      </c>
      <c r="H459" s="56">
        <f t="shared" si="41"/>
        <v>0</v>
      </c>
      <c r="I459" s="56">
        <f t="shared" si="42"/>
        <v>0</v>
      </c>
      <c r="J459" s="57">
        <f t="shared" si="43"/>
        <v>0</v>
      </c>
    </row>
    <row r="460" spans="1:10" x14ac:dyDescent="0.25">
      <c r="A460" s="59"/>
      <c r="B460" s="46"/>
      <c r="C460" s="44"/>
      <c r="D460" s="44"/>
      <c r="E460" s="45"/>
      <c r="F460" s="42">
        <v>18</v>
      </c>
      <c r="G460" s="56">
        <f t="shared" ref="G460:G523" si="44">ROUND((E460*F460%)/2,)</f>
        <v>0</v>
      </c>
      <c r="H460" s="56">
        <f t="shared" ref="H460:H523" si="45">G460</f>
        <v>0</v>
      </c>
      <c r="I460" s="56">
        <f t="shared" ref="I460:I523" si="46">G460+H460</f>
        <v>0</v>
      </c>
      <c r="J460" s="57">
        <f t="shared" ref="J460:J523" si="47">E460+I460</f>
        <v>0</v>
      </c>
    </row>
    <row r="461" spans="1:10" x14ac:dyDescent="0.25">
      <c r="A461" s="59"/>
      <c r="B461" s="46"/>
      <c r="C461" s="44"/>
      <c r="D461" s="44"/>
      <c r="E461" s="45"/>
      <c r="F461" s="42">
        <v>18</v>
      </c>
      <c r="G461" s="56">
        <f t="shared" si="44"/>
        <v>0</v>
      </c>
      <c r="H461" s="56">
        <f t="shared" si="45"/>
        <v>0</v>
      </c>
      <c r="I461" s="56">
        <f t="shared" si="46"/>
        <v>0</v>
      </c>
      <c r="J461" s="57">
        <f t="shared" si="47"/>
        <v>0</v>
      </c>
    </row>
    <row r="462" spans="1:10" x14ac:dyDescent="0.25">
      <c r="A462" s="59"/>
      <c r="B462" s="46"/>
      <c r="C462" s="44"/>
      <c r="D462" s="44"/>
      <c r="E462" s="45"/>
      <c r="F462" s="42">
        <v>18</v>
      </c>
      <c r="G462" s="56">
        <f t="shared" si="44"/>
        <v>0</v>
      </c>
      <c r="H462" s="56">
        <f t="shared" si="45"/>
        <v>0</v>
      </c>
      <c r="I462" s="56">
        <f t="shared" si="46"/>
        <v>0</v>
      </c>
      <c r="J462" s="57">
        <f t="shared" si="47"/>
        <v>0</v>
      </c>
    </row>
    <row r="463" spans="1:10" x14ac:dyDescent="0.25">
      <c r="A463" s="59"/>
      <c r="B463" s="46"/>
      <c r="C463" s="44"/>
      <c r="D463" s="44"/>
      <c r="E463" s="45"/>
      <c r="F463" s="42">
        <v>18</v>
      </c>
      <c r="G463" s="56">
        <f t="shared" si="44"/>
        <v>0</v>
      </c>
      <c r="H463" s="56">
        <f t="shared" si="45"/>
        <v>0</v>
      </c>
      <c r="I463" s="56">
        <f t="shared" si="46"/>
        <v>0</v>
      </c>
      <c r="J463" s="57">
        <f t="shared" si="47"/>
        <v>0</v>
      </c>
    </row>
    <row r="464" spans="1:10" x14ac:dyDescent="0.25">
      <c r="A464" s="59"/>
      <c r="B464" s="46"/>
      <c r="C464" s="44"/>
      <c r="D464" s="44"/>
      <c r="E464" s="45"/>
      <c r="F464" s="42">
        <v>18</v>
      </c>
      <c r="G464" s="56">
        <f t="shared" si="44"/>
        <v>0</v>
      </c>
      <c r="H464" s="56">
        <f t="shared" si="45"/>
        <v>0</v>
      </c>
      <c r="I464" s="56">
        <f t="shared" si="46"/>
        <v>0</v>
      </c>
      <c r="J464" s="57">
        <f t="shared" si="47"/>
        <v>0</v>
      </c>
    </row>
    <row r="465" spans="1:10" x14ac:dyDescent="0.25">
      <c r="A465" s="59"/>
      <c r="B465" s="46"/>
      <c r="C465" s="44"/>
      <c r="D465" s="44"/>
      <c r="E465" s="45"/>
      <c r="F465" s="42">
        <v>18</v>
      </c>
      <c r="G465" s="56">
        <f t="shared" si="44"/>
        <v>0</v>
      </c>
      <c r="H465" s="56">
        <f t="shared" si="45"/>
        <v>0</v>
      </c>
      <c r="I465" s="56">
        <f t="shared" si="46"/>
        <v>0</v>
      </c>
      <c r="J465" s="57">
        <f t="shared" si="47"/>
        <v>0</v>
      </c>
    </row>
    <row r="466" spans="1:10" x14ac:dyDescent="0.25">
      <c r="A466" s="59"/>
      <c r="B466" s="46"/>
      <c r="C466" s="44"/>
      <c r="D466" s="44"/>
      <c r="E466" s="45"/>
      <c r="F466" s="42">
        <v>18</v>
      </c>
      <c r="G466" s="56">
        <f t="shared" si="44"/>
        <v>0</v>
      </c>
      <c r="H466" s="56">
        <f t="shared" si="45"/>
        <v>0</v>
      </c>
      <c r="I466" s="56">
        <f t="shared" si="46"/>
        <v>0</v>
      </c>
      <c r="J466" s="57">
        <f t="shared" si="47"/>
        <v>0</v>
      </c>
    </row>
    <row r="467" spans="1:10" x14ac:dyDescent="0.25">
      <c r="A467" s="59"/>
      <c r="B467" s="46"/>
      <c r="C467" s="44"/>
      <c r="D467" s="44"/>
      <c r="E467" s="45"/>
      <c r="F467" s="42">
        <v>18</v>
      </c>
      <c r="G467" s="56">
        <f t="shared" si="44"/>
        <v>0</v>
      </c>
      <c r="H467" s="56">
        <f t="shared" si="45"/>
        <v>0</v>
      </c>
      <c r="I467" s="56">
        <f t="shared" si="46"/>
        <v>0</v>
      </c>
      <c r="J467" s="57">
        <f t="shared" si="47"/>
        <v>0</v>
      </c>
    </row>
    <row r="468" spans="1:10" x14ac:dyDescent="0.25">
      <c r="A468" s="59"/>
      <c r="B468" s="46"/>
      <c r="C468" s="44"/>
      <c r="D468" s="44"/>
      <c r="E468" s="45"/>
      <c r="F468" s="42">
        <v>18</v>
      </c>
      <c r="G468" s="56">
        <f t="shared" si="44"/>
        <v>0</v>
      </c>
      <c r="H468" s="56">
        <f t="shared" si="45"/>
        <v>0</v>
      </c>
      <c r="I468" s="56">
        <f t="shared" si="46"/>
        <v>0</v>
      </c>
      <c r="J468" s="57">
        <f t="shared" si="47"/>
        <v>0</v>
      </c>
    </row>
    <row r="469" spans="1:10" x14ac:dyDescent="0.25">
      <c r="A469" s="59"/>
      <c r="B469" s="46"/>
      <c r="C469" s="44"/>
      <c r="D469" s="44"/>
      <c r="E469" s="45"/>
      <c r="F469" s="42">
        <v>18</v>
      </c>
      <c r="G469" s="56">
        <f t="shared" si="44"/>
        <v>0</v>
      </c>
      <c r="H469" s="56">
        <f t="shared" si="45"/>
        <v>0</v>
      </c>
      <c r="I469" s="56">
        <f t="shared" si="46"/>
        <v>0</v>
      </c>
      <c r="J469" s="57">
        <f t="shared" si="47"/>
        <v>0</v>
      </c>
    </row>
    <row r="470" spans="1:10" x14ac:dyDescent="0.25">
      <c r="A470" s="59"/>
      <c r="B470" s="46"/>
      <c r="C470" s="44"/>
      <c r="D470" s="44"/>
      <c r="E470" s="45"/>
      <c r="F470" s="42">
        <v>18</v>
      </c>
      <c r="G470" s="56">
        <f t="shared" si="44"/>
        <v>0</v>
      </c>
      <c r="H470" s="56">
        <f t="shared" si="45"/>
        <v>0</v>
      </c>
      <c r="I470" s="56">
        <f t="shared" si="46"/>
        <v>0</v>
      </c>
      <c r="J470" s="57">
        <f t="shared" si="47"/>
        <v>0</v>
      </c>
    </row>
    <row r="471" spans="1:10" x14ac:dyDescent="0.25">
      <c r="A471" s="59"/>
      <c r="B471" s="46"/>
      <c r="C471" s="44"/>
      <c r="D471" s="44"/>
      <c r="E471" s="45"/>
      <c r="F471" s="42">
        <v>18</v>
      </c>
      <c r="G471" s="56">
        <f t="shared" si="44"/>
        <v>0</v>
      </c>
      <c r="H471" s="56">
        <f t="shared" si="45"/>
        <v>0</v>
      </c>
      <c r="I471" s="56">
        <f t="shared" si="46"/>
        <v>0</v>
      </c>
      <c r="J471" s="57">
        <f t="shared" si="47"/>
        <v>0</v>
      </c>
    </row>
    <row r="472" spans="1:10" x14ac:dyDescent="0.25">
      <c r="A472" s="59"/>
      <c r="B472" s="46"/>
      <c r="C472" s="44"/>
      <c r="D472" s="44"/>
      <c r="E472" s="45"/>
      <c r="F472" s="42">
        <v>18</v>
      </c>
      <c r="G472" s="56">
        <f t="shared" si="44"/>
        <v>0</v>
      </c>
      <c r="H472" s="56">
        <f t="shared" si="45"/>
        <v>0</v>
      </c>
      <c r="I472" s="56">
        <f t="shared" si="46"/>
        <v>0</v>
      </c>
      <c r="J472" s="57">
        <f t="shared" si="47"/>
        <v>0</v>
      </c>
    </row>
    <row r="473" spans="1:10" x14ac:dyDescent="0.25">
      <c r="A473" s="59"/>
      <c r="B473" s="46"/>
      <c r="C473" s="44"/>
      <c r="D473" s="44"/>
      <c r="E473" s="45"/>
      <c r="F473" s="42">
        <v>18</v>
      </c>
      <c r="G473" s="56">
        <f t="shared" si="44"/>
        <v>0</v>
      </c>
      <c r="H473" s="56">
        <f t="shared" si="45"/>
        <v>0</v>
      </c>
      <c r="I473" s="56">
        <f t="shared" si="46"/>
        <v>0</v>
      </c>
      <c r="J473" s="57">
        <f t="shared" si="47"/>
        <v>0</v>
      </c>
    </row>
    <row r="474" spans="1:10" x14ac:dyDescent="0.25">
      <c r="A474" s="59"/>
      <c r="B474" s="46"/>
      <c r="C474" s="44"/>
      <c r="D474" s="44"/>
      <c r="E474" s="45"/>
      <c r="F474" s="42">
        <v>18</v>
      </c>
      <c r="G474" s="56">
        <f t="shared" si="44"/>
        <v>0</v>
      </c>
      <c r="H474" s="56">
        <f t="shared" si="45"/>
        <v>0</v>
      </c>
      <c r="I474" s="56">
        <f t="shared" si="46"/>
        <v>0</v>
      </c>
      <c r="J474" s="57">
        <f t="shared" si="47"/>
        <v>0</v>
      </c>
    </row>
    <row r="475" spans="1:10" x14ac:dyDescent="0.25">
      <c r="A475" s="59"/>
      <c r="B475" s="46"/>
      <c r="C475" s="44"/>
      <c r="D475" s="44"/>
      <c r="E475" s="45"/>
      <c r="F475" s="42">
        <v>18</v>
      </c>
      <c r="G475" s="56">
        <f t="shared" si="44"/>
        <v>0</v>
      </c>
      <c r="H475" s="56">
        <f t="shared" si="45"/>
        <v>0</v>
      </c>
      <c r="I475" s="56">
        <f t="shared" si="46"/>
        <v>0</v>
      </c>
      <c r="J475" s="57">
        <f t="shared" si="47"/>
        <v>0</v>
      </c>
    </row>
    <row r="476" spans="1:10" x14ac:dyDescent="0.25">
      <c r="A476" s="59"/>
      <c r="B476" s="46"/>
      <c r="C476" s="44"/>
      <c r="D476" s="44"/>
      <c r="E476" s="45"/>
      <c r="F476" s="42">
        <v>18</v>
      </c>
      <c r="G476" s="56">
        <f t="shared" si="44"/>
        <v>0</v>
      </c>
      <c r="H476" s="56">
        <f t="shared" si="45"/>
        <v>0</v>
      </c>
      <c r="I476" s="56">
        <f t="shared" si="46"/>
        <v>0</v>
      </c>
      <c r="J476" s="57">
        <f t="shared" si="47"/>
        <v>0</v>
      </c>
    </row>
    <row r="477" spans="1:10" x14ac:dyDescent="0.25">
      <c r="A477" s="59"/>
      <c r="B477" s="46"/>
      <c r="C477" s="44"/>
      <c r="D477" s="44"/>
      <c r="E477" s="45"/>
      <c r="F477" s="42">
        <v>18</v>
      </c>
      <c r="G477" s="56">
        <f t="shared" si="44"/>
        <v>0</v>
      </c>
      <c r="H477" s="56">
        <f t="shared" si="45"/>
        <v>0</v>
      </c>
      <c r="I477" s="56">
        <f t="shared" si="46"/>
        <v>0</v>
      </c>
      <c r="J477" s="57">
        <f t="shared" si="47"/>
        <v>0</v>
      </c>
    </row>
    <row r="478" spans="1:10" x14ac:dyDescent="0.25">
      <c r="A478" s="59"/>
      <c r="B478" s="46"/>
      <c r="C478" s="44"/>
      <c r="D478" s="44"/>
      <c r="E478" s="45"/>
      <c r="F478" s="42">
        <v>18</v>
      </c>
      <c r="G478" s="56">
        <f t="shared" si="44"/>
        <v>0</v>
      </c>
      <c r="H478" s="56">
        <f t="shared" si="45"/>
        <v>0</v>
      </c>
      <c r="I478" s="56">
        <f t="shared" si="46"/>
        <v>0</v>
      </c>
      <c r="J478" s="57">
        <f t="shared" si="47"/>
        <v>0</v>
      </c>
    </row>
    <row r="479" spans="1:10" x14ac:dyDescent="0.25">
      <c r="A479" s="59"/>
      <c r="B479" s="46"/>
      <c r="C479" s="44"/>
      <c r="D479" s="44"/>
      <c r="E479" s="45"/>
      <c r="F479" s="42">
        <v>18</v>
      </c>
      <c r="G479" s="56">
        <f t="shared" si="44"/>
        <v>0</v>
      </c>
      <c r="H479" s="56">
        <f t="shared" si="45"/>
        <v>0</v>
      </c>
      <c r="I479" s="56">
        <f t="shared" si="46"/>
        <v>0</v>
      </c>
      <c r="J479" s="57">
        <f t="shared" si="47"/>
        <v>0</v>
      </c>
    </row>
    <row r="480" spans="1:10" x14ac:dyDescent="0.25">
      <c r="A480" s="59"/>
      <c r="B480" s="46"/>
      <c r="C480" s="44"/>
      <c r="D480" s="44"/>
      <c r="E480" s="45"/>
      <c r="F480" s="42">
        <v>18</v>
      </c>
      <c r="G480" s="56">
        <f t="shared" si="44"/>
        <v>0</v>
      </c>
      <c r="H480" s="56">
        <f t="shared" si="45"/>
        <v>0</v>
      </c>
      <c r="I480" s="56">
        <f t="shared" si="46"/>
        <v>0</v>
      </c>
      <c r="J480" s="57">
        <f t="shared" si="47"/>
        <v>0</v>
      </c>
    </row>
    <row r="481" spans="1:10" x14ac:dyDescent="0.25">
      <c r="A481" s="59"/>
      <c r="B481" s="46"/>
      <c r="C481" s="44"/>
      <c r="D481" s="44"/>
      <c r="E481" s="45"/>
      <c r="F481" s="42">
        <v>18</v>
      </c>
      <c r="G481" s="56">
        <f t="shared" si="44"/>
        <v>0</v>
      </c>
      <c r="H481" s="56">
        <f t="shared" si="45"/>
        <v>0</v>
      </c>
      <c r="I481" s="56">
        <f t="shared" si="46"/>
        <v>0</v>
      </c>
      <c r="J481" s="57">
        <f t="shared" si="47"/>
        <v>0</v>
      </c>
    </row>
    <row r="482" spans="1:10" x14ac:dyDescent="0.25">
      <c r="A482" s="59"/>
      <c r="B482" s="46"/>
      <c r="C482" s="44"/>
      <c r="D482" s="44"/>
      <c r="E482" s="45"/>
      <c r="F482" s="42">
        <v>18</v>
      </c>
      <c r="G482" s="56">
        <f t="shared" si="44"/>
        <v>0</v>
      </c>
      <c r="H482" s="56">
        <f t="shared" si="45"/>
        <v>0</v>
      </c>
      <c r="I482" s="56">
        <f t="shared" si="46"/>
        <v>0</v>
      </c>
      <c r="J482" s="57">
        <f t="shared" si="47"/>
        <v>0</v>
      </c>
    </row>
    <row r="483" spans="1:10" x14ac:dyDescent="0.25">
      <c r="A483" s="59"/>
      <c r="B483" s="46"/>
      <c r="C483" s="44"/>
      <c r="D483" s="44"/>
      <c r="E483" s="45"/>
      <c r="F483" s="42">
        <v>18</v>
      </c>
      <c r="G483" s="56">
        <f t="shared" si="44"/>
        <v>0</v>
      </c>
      <c r="H483" s="56">
        <f t="shared" si="45"/>
        <v>0</v>
      </c>
      <c r="I483" s="56">
        <f t="shared" si="46"/>
        <v>0</v>
      </c>
      <c r="J483" s="57">
        <f t="shared" si="47"/>
        <v>0</v>
      </c>
    </row>
    <row r="484" spans="1:10" x14ac:dyDescent="0.25">
      <c r="A484" s="59"/>
      <c r="B484" s="46"/>
      <c r="C484" s="44"/>
      <c r="D484" s="44"/>
      <c r="E484" s="45"/>
      <c r="F484" s="42">
        <v>18</v>
      </c>
      <c r="G484" s="56">
        <f t="shared" si="44"/>
        <v>0</v>
      </c>
      <c r="H484" s="56">
        <f t="shared" si="45"/>
        <v>0</v>
      </c>
      <c r="I484" s="56">
        <f t="shared" si="46"/>
        <v>0</v>
      </c>
      <c r="J484" s="57">
        <f t="shared" si="47"/>
        <v>0</v>
      </c>
    </row>
    <row r="485" spans="1:10" x14ac:dyDescent="0.25">
      <c r="A485" s="59"/>
      <c r="B485" s="46"/>
      <c r="C485" s="44"/>
      <c r="D485" s="44"/>
      <c r="E485" s="45"/>
      <c r="F485" s="42">
        <v>18</v>
      </c>
      <c r="G485" s="56">
        <f t="shared" si="44"/>
        <v>0</v>
      </c>
      <c r="H485" s="56">
        <f t="shared" si="45"/>
        <v>0</v>
      </c>
      <c r="I485" s="56">
        <f t="shared" si="46"/>
        <v>0</v>
      </c>
      <c r="J485" s="57">
        <f t="shared" si="47"/>
        <v>0</v>
      </c>
    </row>
    <row r="486" spans="1:10" x14ac:dyDescent="0.25">
      <c r="A486" s="59"/>
      <c r="B486" s="46"/>
      <c r="C486" s="44"/>
      <c r="D486" s="44"/>
      <c r="E486" s="45"/>
      <c r="F486" s="42">
        <v>18</v>
      </c>
      <c r="G486" s="56">
        <f t="shared" si="44"/>
        <v>0</v>
      </c>
      <c r="H486" s="56">
        <f t="shared" si="45"/>
        <v>0</v>
      </c>
      <c r="I486" s="56">
        <f t="shared" si="46"/>
        <v>0</v>
      </c>
      <c r="J486" s="57">
        <f t="shared" si="47"/>
        <v>0</v>
      </c>
    </row>
    <row r="487" spans="1:10" x14ac:dyDescent="0.25">
      <c r="A487" s="59"/>
      <c r="B487" s="46"/>
      <c r="C487" s="44"/>
      <c r="D487" s="44"/>
      <c r="E487" s="45"/>
      <c r="F487" s="42">
        <v>18</v>
      </c>
      <c r="G487" s="56">
        <f t="shared" si="44"/>
        <v>0</v>
      </c>
      <c r="H487" s="56">
        <f t="shared" si="45"/>
        <v>0</v>
      </c>
      <c r="I487" s="56">
        <f t="shared" si="46"/>
        <v>0</v>
      </c>
      <c r="J487" s="57">
        <f t="shared" si="47"/>
        <v>0</v>
      </c>
    </row>
    <row r="488" spans="1:10" x14ac:dyDescent="0.25">
      <c r="A488" s="59"/>
      <c r="B488" s="46"/>
      <c r="C488" s="44"/>
      <c r="D488" s="44"/>
      <c r="E488" s="45"/>
      <c r="F488" s="42">
        <v>18</v>
      </c>
      <c r="G488" s="56">
        <f t="shared" si="44"/>
        <v>0</v>
      </c>
      <c r="H488" s="56">
        <f t="shared" si="45"/>
        <v>0</v>
      </c>
      <c r="I488" s="56">
        <f t="shared" si="46"/>
        <v>0</v>
      </c>
      <c r="J488" s="57">
        <f t="shared" si="47"/>
        <v>0</v>
      </c>
    </row>
    <row r="489" spans="1:10" x14ac:dyDescent="0.25">
      <c r="A489" s="59"/>
      <c r="B489" s="46"/>
      <c r="C489" s="44"/>
      <c r="D489" s="44"/>
      <c r="E489" s="45"/>
      <c r="F489" s="42">
        <v>18</v>
      </c>
      <c r="G489" s="56">
        <f t="shared" si="44"/>
        <v>0</v>
      </c>
      <c r="H489" s="56">
        <f t="shared" si="45"/>
        <v>0</v>
      </c>
      <c r="I489" s="56">
        <f t="shared" si="46"/>
        <v>0</v>
      </c>
      <c r="J489" s="57">
        <f t="shared" si="47"/>
        <v>0</v>
      </c>
    </row>
    <row r="490" spans="1:10" x14ac:dyDescent="0.25">
      <c r="A490" s="59"/>
      <c r="B490" s="46"/>
      <c r="C490" s="44"/>
      <c r="D490" s="44"/>
      <c r="E490" s="45"/>
      <c r="F490" s="42">
        <v>18</v>
      </c>
      <c r="G490" s="56">
        <f t="shared" si="44"/>
        <v>0</v>
      </c>
      <c r="H490" s="56">
        <f t="shared" si="45"/>
        <v>0</v>
      </c>
      <c r="I490" s="56">
        <f t="shared" si="46"/>
        <v>0</v>
      </c>
      <c r="J490" s="57">
        <f t="shared" si="47"/>
        <v>0</v>
      </c>
    </row>
    <row r="491" spans="1:10" x14ac:dyDescent="0.25">
      <c r="A491" s="59"/>
      <c r="B491" s="46"/>
      <c r="C491" s="44"/>
      <c r="D491" s="44"/>
      <c r="E491" s="45"/>
      <c r="F491" s="42">
        <v>18</v>
      </c>
      <c r="G491" s="56">
        <f t="shared" si="44"/>
        <v>0</v>
      </c>
      <c r="H491" s="56">
        <f t="shared" si="45"/>
        <v>0</v>
      </c>
      <c r="I491" s="56">
        <f t="shared" si="46"/>
        <v>0</v>
      </c>
      <c r="J491" s="57">
        <f t="shared" si="47"/>
        <v>0</v>
      </c>
    </row>
    <row r="492" spans="1:10" x14ac:dyDescent="0.25">
      <c r="A492" s="59"/>
      <c r="B492" s="46"/>
      <c r="C492" s="44"/>
      <c r="D492" s="44"/>
      <c r="E492" s="45"/>
      <c r="F492" s="42">
        <v>18</v>
      </c>
      <c r="G492" s="56">
        <f t="shared" si="44"/>
        <v>0</v>
      </c>
      <c r="H492" s="56">
        <f t="shared" si="45"/>
        <v>0</v>
      </c>
      <c r="I492" s="56">
        <f t="shared" si="46"/>
        <v>0</v>
      </c>
      <c r="J492" s="57">
        <f t="shared" si="47"/>
        <v>0</v>
      </c>
    </row>
    <row r="493" spans="1:10" x14ac:dyDescent="0.25">
      <c r="A493" s="59"/>
      <c r="B493" s="46"/>
      <c r="C493" s="44"/>
      <c r="D493" s="44"/>
      <c r="E493" s="45"/>
      <c r="F493" s="42">
        <v>18</v>
      </c>
      <c r="G493" s="56">
        <f t="shared" si="44"/>
        <v>0</v>
      </c>
      <c r="H493" s="56">
        <f t="shared" si="45"/>
        <v>0</v>
      </c>
      <c r="I493" s="56">
        <f t="shared" si="46"/>
        <v>0</v>
      </c>
      <c r="J493" s="57">
        <f t="shared" si="47"/>
        <v>0</v>
      </c>
    </row>
    <row r="494" spans="1:10" x14ac:dyDescent="0.25">
      <c r="A494" s="59"/>
      <c r="B494" s="46"/>
      <c r="C494" s="44"/>
      <c r="D494" s="44"/>
      <c r="E494" s="45"/>
      <c r="F494" s="42">
        <v>18</v>
      </c>
      <c r="G494" s="56">
        <f t="shared" si="44"/>
        <v>0</v>
      </c>
      <c r="H494" s="56">
        <f t="shared" si="45"/>
        <v>0</v>
      </c>
      <c r="I494" s="56">
        <f t="shared" si="46"/>
        <v>0</v>
      </c>
      <c r="J494" s="57">
        <f t="shared" si="47"/>
        <v>0</v>
      </c>
    </row>
    <row r="495" spans="1:10" x14ac:dyDescent="0.25">
      <c r="A495" s="59"/>
      <c r="B495" s="46"/>
      <c r="C495" s="44"/>
      <c r="D495" s="44"/>
      <c r="E495" s="45"/>
      <c r="F495" s="42">
        <v>18</v>
      </c>
      <c r="G495" s="56">
        <f t="shared" si="44"/>
        <v>0</v>
      </c>
      <c r="H495" s="56">
        <f t="shared" si="45"/>
        <v>0</v>
      </c>
      <c r="I495" s="56">
        <f t="shared" si="46"/>
        <v>0</v>
      </c>
      <c r="J495" s="57">
        <f t="shared" si="47"/>
        <v>0</v>
      </c>
    </row>
    <row r="496" spans="1:10" x14ac:dyDescent="0.25">
      <c r="A496" s="59"/>
      <c r="B496" s="46"/>
      <c r="C496" s="44"/>
      <c r="D496" s="44"/>
      <c r="E496" s="45"/>
      <c r="F496" s="42">
        <v>18</v>
      </c>
      <c r="G496" s="56">
        <f t="shared" si="44"/>
        <v>0</v>
      </c>
      <c r="H496" s="56">
        <f t="shared" si="45"/>
        <v>0</v>
      </c>
      <c r="I496" s="56">
        <f t="shared" si="46"/>
        <v>0</v>
      </c>
      <c r="J496" s="57">
        <f t="shared" si="47"/>
        <v>0</v>
      </c>
    </row>
    <row r="497" spans="1:10" x14ac:dyDescent="0.25">
      <c r="A497" s="59"/>
      <c r="B497" s="46"/>
      <c r="C497" s="44"/>
      <c r="D497" s="44"/>
      <c r="E497" s="45"/>
      <c r="F497" s="42">
        <v>18</v>
      </c>
      <c r="G497" s="56">
        <f t="shared" si="44"/>
        <v>0</v>
      </c>
      <c r="H497" s="56">
        <f t="shared" si="45"/>
        <v>0</v>
      </c>
      <c r="I497" s="56">
        <f t="shared" si="46"/>
        <v>0</v>
      </c>
      <c r="J497" s="57">
        <f t="shared" si="47"/>
        <v>0</v>
      </c>
    </row>
    <row r="498" spans="1:10" x14ac:dyDescent="0.25">
      <c r="A498" s="59"/>
      <c r="B498" s="46"/>
      <c r="C498" s="44"/>
      <c r="D498" s="44"/>
      <c r="E498" s="45"/>
      <c r="F498" s="42">
        <v>18</v>
      </c>
      <c r="G498" s="56">
        <f t="shared" si="44"/>
        <v>0</v>
      </c>
      <c r="H498" s="56">
        <f t="shared" si="45"/>
        <v>0</v>
      </c>
      <c r="I498" s="56">
        <f t="shared" si="46"/>
        <v>0</v>
      </c>
      <c r="J498" s="57">
        <f t="shared" si="47"/>
        <v>0</v>
      </c>
    </row>
    <row r="499" spans="1:10" x14ac:dyDescent="0.25">
      <c r="A499" s="59"/>
      <c r="B499" s="46"/>
      <c r="C499" s="44"/>
      <c r="D499" s="44"/>
      <c r="E499" s="45"/>
      <c r="F499" s="42">
        <v>18</v>
      </c>
      <c r="G499" s="56">
        <f t="shared" si="44"/>
        <v>0</v>
      </c>
      <c r="H499" s="56">
        <f t="shared" si="45"/>
        <v>0</v>
      </c>
      <c r="I499" s="56">
        <f t="shared" si="46"/>
        <v>0</v>
      </c>
      <c r="J499" s="57">
        <f t="shared" si="47"/>
        <v>0</v>
      </c>
    </row>
    <row r="500" spans="1:10" x14ac:dyDescent="0.25">
      <c r="A500" s="59"/>
      <c r="B500" s="46"/>
      <c r="C500" s="44"/>
      <c r="D500" s="44"/>
      <c r="E500" s="45"/>
      <c r="F500" s="42">
        <v>18</v>
      </c>
      <c r="G500" s="56">
        <f t="shared" si="44"/>
        <v>0</v>
      </c>
      <c r="H500" s="56">
        <f t="shared" si="45"/>
        <v>0</v>
      </c>
      <c r="I500" s="56">
        <f t="shared" si="46"/>
        <v>0</v>
      </c>
      <c r="J500" s="57">
        <f t="shared" si="47"/>
        <v>0</v>
      </c>
    </row>
    <row r="501" spans="1:10" x14ac:dyDescent="0.25">
      <c r="A501" s="59"/>
      <c r="B501" s="46"/>
      <c r="C501" s="44"/>
      <c r="D501" s="44"/>
      <c r="E501" s="45"/>
      <c r="F501" s="42">
        <v>18</v>
      </c>
      <c r="G501" s="56">
        <f t="shared" si="44"/>
        <v>0</v>
      </c>
      <c r="H501" s="56">
        <f t="shared" si="45"/>
        <v>0</v>
      </c>
      <c r="I501" s="56">
        <f t="shared" si="46"/>
        <v>0</v>
      </c>
      <c r="J501" s="57">
        <f t="shared" si="47"/>
        <v>0</v>
      </c>
    </row>
    <row r="502" spans="1:10" x14ac:dyDescent="0.25">
      <c r="A502" s="59"/>
      <c r="B502" s="46"/>
      <c r="C502" s="44"/>
      <c r="D502" s="44"/>
      <c r="E502" s="45"/>
      <c r="F502" s="42">
        <v>18</v>
      </c>
      <c r="G502" s="56">
        <f t="shared" si="44"/>
        <v>0</v>
      </c>
      <c r="H502" s="56">
        <f t="shared" si="45"/>
        <v>0</v>
      </c>
      <c r="I502" s="56">
        <f t="shared" si="46"/>
        <v>0</v>
      </c>
      <c r="J502" s="57">
        <f t="shared" si="47"/>
        <v>0</v>
      </c>
    </row>
    <row r="503" spans="1:10" x14ac:dyDescent="0.25">
      <c r="A503" s="59"/>
      <c r="B503" s="46"/>
      <c r="C503" s="44"/>
      <c r="D503" s="44"/>
      <c r="E503" s="45"/>
      <c r="F503" s="42">
        <v>18</v>
      </c>
      <c r="G503" s="56">
        <f t="shared" si="44"/>
        <v>0</v>
      </c>
      <c r="H503" s="56">
        <f t="shared" si="45"/>
        <v>0</v>
      </c>
      <c r="I503" s="56">
        <f t="shared" si="46"/>
        <v>0</v>
      </c>
      <c r="J503" s="57">
        <f t="shared" si="47"/>
        <v>0</v>
      </c>
    </row>
    <row r="504" spans="1:10" x14ac:dyDescent="0.25">
      <c r="A504" s="59"/>
      <c r="B504" s="46"/>
      <c r="C504" s="44"/>
      <c r="D504" s="44"/>
      <c r="E504" s="45"/>
      <c r="F504" s="42">
        <v>18</v>
      </c>
      <c r="G504" s="56">
        <f t="shared" si="44"/>
        <v>0</v>
      </c>
      <c r="H504" s="56">
        <f t="shared" si="45"/>
        <v>0</v>
      </c>
      <c r="I504" s="56">
        <f t="shared" si="46"/>
        <v>0</v>
      </c>
      <c r="J504" s="57">
        <f t="shared" si="47"/>
        <v>0</v>
      </c>
    </row>
    <row r="505" spans="1:10" x14ac:dyDescent="0.25">
      <c r="A505" s="59"/>
      <c r="B505" s="46"/>
      <c r="C505" s="44"/>
      <c r="D505" s="44"/>
      <c r="E505" s="45"/>
      <c r="F505" s="42">
        <v>18</v>
      </c>
      <c r="G505" s="56">
        <f t="shared" si="44"/>
        <v>0</v>
      </c>
      <c r="H505" s="56">
        <f t="shared" si="45"/>
        <v>0</v>
      </c>
      <c r="I505" s="56">
        <f t="shared" si="46"/>
        <v>0</v>
      </c>
      <c r="J505" s="57">
        <f t="shared" si="47"/>
        <v>0</v>
      </c>
    </row>
    <row r="506" spans="1:10" x14ac:dyDescent="0.25">
      <c r="A506" s="59"/>
      <c r="B506" s="46"/>
      <c r="C506" s="44"/>
      <c r="D506" s="44"/>
      <c r="E506" s="45"/>
      <c r="F506" s="42">
        <v>18</v>
      </c>
      <c r="G506" s="56">
        <f t="shared" si="44"/>
        <v>0</v>
      </c>
      <c r="H506" s="56">
        <f t="shared" si="45"/>
        <v>0</v>
      </c>
      <c r="I506" s="56">
        <f t="shared" si="46"/>
        <v>0</v>
      </c>
      <c r="J506" s="57">
        <f t="shared" si="47"/>
        <v>0</v>
      </c>
    </row>
    <row r="507" spans="1:10" x14ac:dyDescent="0.25">
      <c r="A507" s="59"/>
      <c r="B507" s="46"/>
      <c r="C507" s="44"/>
      <c r="D507" s="44"/>
      <c r="E507" s="45"/>
      <c r="F507" s="42">
        <v>18</v>
      </c>
      <c r="G507" s="56">
        <f t="shared" si="44"/>
        <v>0</v>
      </c>
      <c r="H507" s="56">
        <f t="shared" si="45"/>
        <v>0</v>
      </c>
      <c r="I507" s="56">
        <f t="shared" si="46"/>
        <v>0</v>
      </c>
      <c r="J507" s="57">
        <f t="shared" si="47"/>
        <v>0</v>
      </c>
    </row>
    <row r="508" spans="1:10" x14ac:dyDescent="0.25">
      <c r="A508" s="59"/>
      <c r="B508" s="46"/>
      <c r="C508" s="44"/>
      <c r="D508" s="44"/>
      <c r="E508" s="45"/>
      <c r="F508" s="42">
        <v>18</v>
      </c>
      <c r="G508" s="56">
        <f t="shared" si="44"/>
        <v>0</v>
      </c>
      <c r="H508" s="56">
        <f t="shared" si="45"/>
        <v>0</v>
      </c>
      <c r="I508" s="56">
        <f t="shared" si="46"/>
        <v>0</v>
      </c>
      <c r="J508" s="57">
        <f t="shared" si="47"/>
        <v>0</v>
      </c>
    </row>
    <row r="509" spans="1:10" x14ac:dyDescent="0.25">
      <c r="A509" s="59"/>
      <c r="B509" s="46"/>
      <c r="C509" s="44"/>
      <c r="D509" s="44"/>
      <c r="E509" s="45"/>
      <c r="F509" s="42">
        <v>18</v>
      </c>
      <c r="G509" s="56">
        <f t="shared" si="44"/>
        <v>0</v>
      </c>
      <c r="H509" s="56">
        <f t="shared" si="45"/>
        <v>0</v>
      </c>
      <c r="I509" s="56">
        <f t="shared" si="46"/>
        <v>0</v>
      </c>
      <c r="J509" s="57">
        <f t="shared" si="47"/>
        <v>0</v>
      </c>
    </row>
    <row r="510" spans="1:10" x14ac:dyDescent="0.25">
      <c r="A510" s="59"/>
      <c r="B510" s="46"/>
      <c r="C510" s="44"/>
      <c r="D510" s="44"/>
      <c r="E510" s="45"/>
      <c r="F510" s="42">
        <v>18</v>
      </c>
      <c r="G510" s="56">
        <f t="shared" si="44"/>
        <v>0</v>
      </c>
      <c r="H510" s="56">
        <f t="shared" si="45"/>
        <v>0</v>
      </c>
      <c r="I510" s="56">
        <f t="shared" si="46"/>
        <v>0</v>
      </c>
      <c r="J510" s="57">
        <f t="shared" si="47"/>
        <v>0</v>
      </c>
    </row>
    <row r="511" spans="1:10" x14ac:dyDescent="0.25">
      <c r="A511" s="59"/>
      <c r="B511" s="46"/>
      <c r="C511" s="44"/>
      <c r="D511" s="44"/>
      <c r="E511" s="45"/>
      <c r="F511" s="42">
        <v>18</v>
      </c>
      <c r="G511" s="56">
        <f t="shared" si="44"/>
        <v>0</v>
      </c>
      <c r="H511" s="56">
        <f t="shared" si="45"/>
        <v>0</v>
      </c>
      <c r="I511" s="56">
        <f t="shared" si="46"/>
        <v>0</v>
      </c>
      <c r="J511" s="57">
        <f t="shared" si="47"/>
        <v>0</v>
      </c>
    </row>
    <row r="512" spans="1:10" x14ac:dyDescent="0.25">
      <c r="A512" s="59"/>
      <c r="B512" s="46"/>
      <c r="C512" s="44"/>
      <c r="D512" s="44"/>
      <c r="E512" s="45"/>
      <c r="F512" s="42">
        <v>18</v>
      </c>
      <c r="G512" s="56">
        <f t="shared" si="44"/>
        <v>0</v>
      </c>
      <c r="H512" s="56">
        <f t="shared" si="45"/>
        <v>0</v>
      </c>
      <c r="I512" s="56">
        <f t="shared" si="46"/>
        <v>0</v>
      </c>
      <c r="J512" s="57">
        <f t="shared" si="47"/>
        <v>0</v>
      </c>
    </row>
    <row r="513" spans="1:10" x14ac:dyDescent="0.25">
      <c r="A513" s="59"/>
      <c r="B513" s="46"/>
      <c r="C513" s="44"/>
      <c r="D513" s="44"/>
      <c r="E513" s="45"/>
      <c r="F513" s="42">
        <v>18</v>
      </c>
      <c r="G513" s="56">
        <f t="shared" si="44"/>
        <v>0</v>
      </c>
      <c r="H513" s="56">
        <f t="shared" si="45"/>
        <v>0</v>
      </c>
      <c r="I513" s="56">
        <f t="shared" si="46"/>
        <v>0</v>
      </c>
      <c r="J513" s="57">
        <f t="shared" si="47"/>
        <v>0</v>
      </c>
    </row>
    <row r="514" spans="1:10" x14ac:dyDescent="0.25">
      <c r="A514" s="59"/>
      <c r="B514" s="46"/>
      <c r="C514" s="44"/>
      <c r="D514" s="44"/>
      <c r="E514" s="45"/>
      <c r="F514" s="42">
        <v>18</v>
      </c>
      <c r="G514" s="56">
        <f t="shared" si="44"/>
        <v>0</v>
      </c>
      <c r="H514" s="56">
        <f t="shared" si="45"/>
        <v>0</v>
      </c>
      <c r="I514" s="56">
        <f t="shared" si="46"/>
        <v>0</v>
      </c>
      <c r="J514" s="57">
        <f t="shared" si="47"/>
        <v>0</v>
      </c>
    </row>
    <row r="515" spans="1:10" x14ac:dyDescent="0.25">
      <c r="A515" s="59"/>
      <c r="B515" s="46"/>
      <c r="C515" s="44"/>
      <c r="D515" s="44"/>
      <c r="E515" s="45"/>
      <c r="F515" s="42">
        <v>18</v>
      </c>
      <c r="G515" s="56">
        <f t="shared" si="44"/>
        <v>0</v>
      </c>
      <c r="H515" s="56">
        <f t="shared" si="45"/>
        <v>0</v>
      </c>
      <c r="I515" s="56">
        <f t="shared" si="46"/>
        <v>0</v>
      </c>
      <c r="J515" s="57">
        <f t="shared" si="47"/>
        <v>0</v>
      </c>
    </row>
    <row r="516" spans="1:10" x14ac:dyDescent="0.25">
      <c r="A516" s="59"/>
      <c r="B516" s="46"/>
      <c r="C516" s="44"/>
      <c r="D516" s="44"/>
      <c r="E516" s="45"/>
      <c r="F516" s="42">
        <v>18</v>
      </c>
      <c r="G516" s="56">
        <f t="shared" si="44"/>
        <v>0</v>
      </c>
      <c r="H516" s="56">
        <f t="shared" si="45"/>
        <v>0</v>
      </c>
      <c r="I516" s="56">
        <f t="shared" si="46"/>
        <v>0</v>
      </c>
      <c r="J516" s="57">
        <f t="shared" si="47"/>
        <v>0</v>
      </c>
    </row>
    <row r="517" spans="1:10" x14ac:dyDescent="0.25">
      <c r="A517" s="59"/>
      <c r="B517" s="46"/>
      <c r="C517" s="44"/>
      <c r="D517" s="44"/>
      <c r="E517" s="45"/>
      <c r="F517" s="42">
        <v>18</v>
      </c>
      <c r="G517" s="56">
        <f t="shared" si="44"/>
        <v>0</v>
      </c>
      <c r="H517" s="56">
        <f t="shared" si="45"/>
        <v>0</v>
      </c>
      <c r="I517" s="56">
        <f t="shared" si="46"/>
        <v>0</v>
      </c>
      <c r="J517" s="57">
        <f t="shared" si="47"/>
        <v>0</v>
      </c>
    </row>
    <row r="518" spans="1:10" x14ac:dyDescent="0.25">
      <c r="A518" s="59"/>
      <c r="B518" s="46"/>
      <c r="C518" s="44"/>
      <c r="D518" s="44"/>
      <c r="E518" s="45"/>
      <c r="F518" s="42">
        <v>18</v>
      </c>
      <c r="G518" s="56">
        <f t="shared" si="44"/>
        <v>0</v>
      </c>
      <c r="H518" s="56">
        <f t="shared" si="45"/>
        <v>0</v>
      </c>
      <c r="I518" s="56">
        <f t="shared" si="46"/>
        <v>0</v>
      </c>
      <c r="J518" s="57">
        <f t="shared" si="47"/>
        <v>0</v>
      </c>
    </row>
    <row r="519" spans="1:10" x14ac:dyDescent="0.25">
      <c r="A519" s="59"/>
      <c r="B519" s="46"/>
      <c r="C519" s="44"/>
      <c r="D519" s="44"/>
      <c r="E519" s="45"/>
      <c r="F519" s="42">
        <v>18</v>
      </c>
      <c r="G519" s="56">
        <f t="shared" si="44"/>
        <v>0</v>
      </c>
      <c r="H519" s="56">
        <f t="shared" si="45"/>
        <v>0</v>
      </c>
      <c r="I519" s="56">
        <f t="shared" si="46"/>
        <v>0</v>
      </c>
      <c r="J519" s="57">
        <f t="shared" si="47"/>
        <v>0</v>
      </c>
    </row>
    <row r="520" spans="1:10" x14ac:dyDescent="0.25">
      <c r="A520" s="59"/>
      <c r="B520" s="46"/>
      <c r="C520" s="44"/>
      <c r="D520" s="44"/>
      <c r="E520" s="45"/>
      <c r="F520" s="42">
        <v>18</v>
      </c>
      <c r="G520" s="56">
        <f t="shared" si="44"/>
        <v>0</v>
      </c>
      <c r="H520" s="56">
        <f t="shared" si="45"/>
        <v>0</v>
      </c>
      <c r="I520" s="56">
        <f t="shared" si="46"/>
        <v>0</v>
      </c>
      <c r="J520" s="57">
        <f t="shared" si="47"/>
        <v>0</v>
      </c>
    </row>
    <row r="521" spans="1:10" x14ac:dyDescent="0.25">
      <c r="A521" s="59"/>
      <c r="B521" s="46"/>
      <c r="C521" s="44"/>
      <c r="D521" s="44"/>
      <c r="E521" s="45"/>
      <c r="F521" s="42">
        <v>18</v>
      </c>
      <c r="G521" s="56">
        <f t="shared" si="44"/>
        <v>0</v>
      </c>
      <c r="H521" s="56">
        <f t="shared" si="45"/>
        <v>0</v>
      </c>
      <c r="I521" s="56">
        <f t="shared" si="46"/>
        <v>0</v>
      </c>
      <c r="J521" s="57">
        <f t="shared" si="47"/>
        <v>0</v>
      </c>
    </row>
    <row r="522" spans="1:10" x14ac:dyDescent="0.25">
      <c r="A522" s="59"/>
      <c r="B522" s="46"/>
      <c r="C522" s="44"/>
      <c r="D522" s="44"/>
      <c r="E522" s="45"/>
      <c r="F522" s="42">
        <v>18</v>
      </c>
      <c r="G522" s="56">
        <f t="shared" si="44"/>
        <v>0</v>
      </c>
      <c r="H522" s="56">
        <f t="shared" si="45"/>
        <v>0</v>
      </c>
      <c r="I522" s="56">
        <f t="shared" si="46"/>
        <v>0</v>
      </c>
      <c r="J522" s="57">
        <f t="shared" si="47"/>
        <v>0</v>
      </c>
    </row>
    <row r="523" spans="1:10" x14ac:dyDescent="0.25">
      <c r="A523" s="59"/>
      <c r="B523" s="46"/>
      <c r="C523" s="44"/>
      <c r="D523" s="44"/>
      <c r="E523" s="45"/>
      <c r="F523" s="42">
        <v>18</v>
      </c>
      <c r="G523" s="56">
        <f t="shared" si="44"/>
        <v>0</v>
      </c>
      <c r="H523" s="56">
        <f t="shared" si="45"/>
        <v>0</v>
      </c>
      <c r="I523" s="56">
        <f t="shared" si="46"/>
        <v>0</v>
      </c>
      <c r="J523" s="57">
        <f t="shared" si="47"/>
        <v>0</v>
      </c>
    </row>
    <row r="524" spans="1:10" x14ac:dyDescent="0.25">
      <c r="A524" s="59"/>
      <c r="B524" s="46"/>
      <c r="C524" s="44"/>
      <c r="D524" s="44"/>
      <c r="E524" s="45"/>
      <c r="F524" s="42">
        <v>18</v>
      </c>
      <c r="G524" s="56">
        <f t="shared" ref="G524" si="48">ROUND((E524*F524%)/2,)</f>
        <v>0</v>
      </c>
      <c r="H524" s="56">
        <f t="shared" ref="H524" si="49">G524</f>
        <v>0</v>
      </c>
      <c r="I524" s="56">
        <f t="shared" ref="I524" si="50">G524+H524</f>
        <v>0</v>
      </c>
      <c r="J524" s="57">
        <f t="shared" ref="J524" si="51">E524+I524</f>
        <v>0</v>
      </c>
    </row>
  </sheetData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524">
      <formula1>500</formula1>
    </dataValidation>
    <dataValidation type="custom" allowBlank="1" showInputMessage="1" showErrorMessage="1" error="Please enter Numeric value having length less than or equal to 16 including decimal points. Do not enter Special characters." sqref="F2:F524">
      <formula1>AG2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524">
      <formula1>AF2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2:D524">
      <formula1>AD2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workbookViewId="0">
      <selection activeCell="A7" sqref="A7:B7"/>
    </sheetView>
  </sheetViews>
  <sheetFormatPr defaultRowHeight="15" x14ac:dyDescent="0.25"/>
  <cols>
    <col min="1" max="1" width="17.5703125" customWidth="1"/>
    <col min="2" max="2" width="39.42578125" customWidth="1"/>
    <col min="3" max="3" width="8" customWidth="1"/>
    <col min="4" max="4" width="10.42578125" customWidth="1"/>
    <col min="5" max="5" width="11.140625" customWidth="1"/>
    <col min="7" max="7" width="10" customWidth="1"/>
    <col min="8" max="9" width="10.140625" customWidth="1"/>
    <col min="10" max="10" width="14.2851562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109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>
        <v>0</v>
      </c>
      <c r="F3" s="42">
        <v>18</v>
      </c>
      <c r="G3" s="56">
        <f t="shared" ref="G3:G4" si="0">ROUND((E3*F3%)/2,)</f>
        <v>0</v>
      </c>
      <c r="H3" s="56">
        <f t="shared" ref="H3:H4" si="1">G3</f>
        <v>0</v>
      </c>
      <c r="I3" s="56">
        <f t="shared" ref="I3:I4" si="2">G3+H3</f>
        <v>0</v>
      </c>
      <c r="J3" s="57">
        <f t="shared" ref="J3:J4" si="3">E3+I3</f>
        <v>0</v>
      </c>
    </row>
    <row r="4" spans="1:10" x14ac:dyDescent="0.25">
      <c r="A4" s="48" t="s">
        <v>521</v>
      </c>
      <c r="B4" s="44" t="s">
        <v>522</v>
      </c>
      <c r="C4" s="44" t="s">
        <v>523</v>
      </c>
      <c r="D4" s="44" t="s">
        <v>524</v>
      </c>
      <c r="E4" s="45">
        <v>25997</v>
      </c>
      <c r="F4" s="42">
        <v>18</v>
      </c>
      <c r="G4" s="56">
        <f t="shared" si="0"/>
        <v>2340</v>
      </c>
      <c r="H4" s="56">
        <f t="shared" si="1"/>
        <v>2340</v>
      </c>
      <c r="I4" s="56">
        <f t="shared" si="2"/>
        <v>4680</v>
      </c>
      <c r="J4" s="57">
        <f t="shared" si="3"/>
        <v>30677</v>
      </c>
    </row>
    <row r="5" spans="1:10" x14ac:dyDescent="0.25">
      <c r="A5" s="59" t="s">
        <v>515</v>
      </c>
      <c r="B5" s="46" t="s">
        <v>516</v>
      </c>
      <c r="C5" s="44" t="s">
        <v>525</v>
      </c>
      <c r="D5" s="44" t="s">
        <v>526</v>
      </c>
      <c r="E5" s="45">
        <v>18263</v>
      </c>
      <c r="F5" s="42">
        <v>18</v>
      </c>
      <c r="G5" s="56">
        <f t="shared" ref="G5:G66" si="4">ROUND((E5*F5%)/2,)</f>
        <v>1644</v>
      </c>
      <c r="H5" s="56">
        <f t="shared" ref="H5:H66" si="5">G5</f>
        <v>1644</v>
      </c>
      <c r="I5" s="56">
        <f t="shared" ref="I5:I66" si="6">G5+H5</f>
        <v>3288</v>
      </c>
      <c r="J5" s="57">
        <f t="shared" ref="J5:J66" si="7">E5+I5</f>
        <v>21551</v>
      </c>
    </row>
    <row r="6" spans="1:10" x14ac:dyDescent="0.25">
      <c r="A6" s="48" t="s">
        <v>182</v>
      </c>
      <c r="B6" s="44" t="s">
        <v>183</v>
      </c>
      <c r="C6" s="44" t="s">
        <v>527</v>
      </c>
      <c r="D6" s="44" t="s">
        <v>528</v>
      </c>
      <c r="E6" s="45">
        <v>19130.099999999999</v>
      </c>
      <c r="F6" s="42">
        <v>18</v>
      </c>
      <c r="G6" s="56">
        <f t="shared" si="4"/>
        <v>1722</v>
      </c>
      <c r="H6" s="56">
        <f t="shared" si="5"/>
        <v>1722</v>
      </c>
      <c r="I6" s="56">
        <f t="shared" si="6"/>
        <v>3444</v>
      </c>
      <c r="J6" s="57">
        <f t="shared" si="7"/>
        <v>22574.1</v>
      </c>
    </row>
    <row r="7" spans="1:10" x14ac:dyDescent="0.25">
      <c r="A7" s="48" t="s">
        <v>529</v>
      </c>
      <c r="B7" s="44" t="s">
        <v>530</v>
      </c>
      <c r="C7" s="44" t="s">
        <v>531</v>
      </c>
      <c r="D7" s="44" t="s">
        <v>532</v>
      </c>
      <c r="E7" s="45">
        <v>1356</v>
      </c>
      <c r="F7" s="42">
        <v>18</v>
      </c>
      <c r="G7" s="56">
        <f t="shared" si="4"/>
        <v>122</v>
      </c>
      <c r="H7" s="56">
        <f t="shared" si="5"/>
        <v>122</v>
      </c>
      <c r="I7" s="56">
        <f t="shared" si="6"/>
        <v>244</v>
      </c>
      <c r="J7" s="57">
        <f t="shared" si="7"/>
        <v>1600</v>
      </c>
    </row>
    <row r="8" spans="1:10" x14ac:dyDescent="0.25">
      <c r="A8" s="48" t="s">
        <v>514</v>
      </c>
      <c r="B8" s="44" t="s">
        <v>499</v>
      </c>
      <c r="C8" s="44" t="s">
        <v>534</v>
      </c>
      <c r="D8" s="44" t="s">
        <v>533</v>
      </c>
      <c r="E8" s="45">
        <v>18480</v>
      </c>
      <c r="F8" s="42">
        <v>18</v>
      </c>
      <c r="G8" s="56">
        <f t="shared" si="4"/>
        <v>1663</v>
      </c>
      <c r="H8" s="56">
        <f t="shared" si="5"/>
        <v>1663</v>
      </c>
      <c r="I8" s="56">
        <f t="shared" si="6"/>
        <v>3326</v>
      </c>
      <c r="J8" s="57">
        <f t="shared" si="7"/>
        <v>21806</v>
      </c>
    </row>
    <row r="9" spans="1:10" x14ac:dyDescent="0.25">
      <c r="A9" s="48" t="s">
        <v>514</v>
      </c>
      <c r="B9" s="44" t="s">
        <v>499</v>
      </c>
      <c r="C9" s="44" t="s">
        <v>535</v>
      </c>
      <c r="D9" s="44" t="s">
        <v>536</v>
      </c>
      <c r="E9" s="45">
        <v>2322.5</v>
      </c>
      <c r="F9" s="42">
        <v>18</v>
      </c>
      <c r="G9" s="56">
        <f t="shared" si="4"/>
        <v>209</v>
      </c>
      <c r="H9" s="56">
        <f t="shared" si="5"/>
        <v>209</v>
      </c>
      <c r="I9" s="56">
        <f t="shared" si="6"/>
        <v>418</v>
      </c>
      <c r="J9" s="57">
        <f t="shared" si="7"/>
        <v>2740.5</v>
      </c>
    </row>
    <row r="10" spans="1:10" x14ac:dyDescent="0.25">
      <c r="A10" s="48"/>
      <c r="B10" s="44"/>
      <c r="C10" s="44"/>
      <c r="D10" s="44"/>
      <c r="E10" s="45">
        <v>0</v>
      </c>
      <c r="F10" s="42">
        <v>18</v>
      </c>
      <c r="G10" s="56">
        <f t="shared" si="4"/>
        <v>0</v>
      </c>
      <c r="H10" s="56">
        <f t="shared" si="5"/>
        <v>0</v>
      </c>
      <c r="I10" s="56">
        <f t="shared" si="6"/>
        <v>0</v>
      </c>
      <c r="J10" s="57">
        <f t="shared" si="7"/>
        <v>0</v>
      </c>
    </row>
    <row r="11" spans="1:10" x14ac:dyDescent="0.25">
      <c r="A11" s="48"/>
      <c r="B11" s="44"/>
      <c r="C11" s="44"/>
      <c r="D11" s="44"/>
      <c r="E11" s="45">
        <v>0</v>
      </c>
      <c r="F11" s="42">
        <v>18</v>
      </c>
      <c r="G11" s="56">
        <f t="shared" si="4"/>
        <v>0</v>
      </c>
      <c r="H11" s="56">
        <f t="shared" si="5"/>
        <v>0</v>
      </c>
      <c r="I11" s="56">
        <f t="shared" si="6"/>
        <v>0</v>
      </c>
      <c r="J11" s="57">
        <f t="shared" si="7"/>
        <v>0</v>
      </c>
    </row>
    <row r="12" spans="1:10" x14ac:dyDescent="0.25">
      <c r="A12" s="48"/>
      <c r="B12" s="58" t="s">
        <v>114</v>
      </c>
      <c r="C12" s="44"/>
      <c r="D12" s="44"/>
      <c r="E12" s="45">
        <v>0</v>
      </c>
      <c r="F12" s="42">
        <v>18</v>
      </c>
      <c r="G12" s="56">
        <f t="shared" si="4"/>
        <v>0</v>
      </c>
      <c r="H12" s="56">
        <f t="shared" si="5"/>
        <v>0</v>
      </c>
      <c r="I12" s="56">
        <f t="shared" si="6"/>
        <v>0</v>
      </c>
      <c r="J12" s="57">
        <f t="shared" si="7"/>
        <v>0</v>
      </c>
    </row>
    <row r="13" spans="1:10" x14ac:dyDescent="0.25">
      <c r="A13" s="48"/>
      <c r="B13" s="44"/>
      <c r="C13" s="44"/>
      <c r="D13" s="44"/>
      <c r="E13" s="45">
        <v>0</v>
      </c>
      <c r="F13" s="42">
        <v>18</v>
      </c>
      <c r="G13" s="56">
        <f t="shared" si="4"/>
        <v>0</v>
      </c>
      <c r="H13" s="56">
        <f t="shared" si="5"/>
        <v>0</v>
      </c>
      <c r="I13" s="56">
        <f t="shared" si="6"/>
        <v>0</v>
      </c>
      <c r="J13" s="57">
        <f t="shared" si="7"/>
        <v>0</v>
      </c>
    </row>
    <row r="14" spans="1:10" x14ac:dyDescent="0.25">
      <c r="A14" s="59" t="s">
        <v>135</v>
      </c>
      <c r="B14" s="46" t="s">
        <v>136</v>
      </c>
      <c r="C14" s="44" t="s">
        <v>537</v>
      </c>
      <c r="D14" s="44" t="s">
        <v>568</v>
      </c>
      <c r="E14" s="45">
        <v>5400</v>
      </c>
      <c r="F14" s="42">
        <v>18</v>
      </c>
      <c r="G14" s="56">
        <f t="shared" si="4"/>
        <v>486</v>
      </c>
      <c r="H14" s="56">
        <f t="shared" si="5"/>
        <v>486</v>
      </c>
      <c r="I14" s="56">
        <f t="shared" si="6"/>
        <v>972</v>
      </c>
      <c r="J14" s="57">
        <f t="shared" si="7"/>
        <v>6372</v>
      </c>
    </row>
    <row r="15" spans="1:10" x14ac:dyDescent="0.25">
      <c r="A15" s="48" t="s">
        <v>519</v>
      </c>
      <c r="B15" s="44" t="s">
        <v>520</v>
      </c>
      <c r="C15" s="44" t="s">
        <v>538</v>
      </c>
      <c r="D15" s="44" t="s">
        <v>569</v>
      </c>
      <c r="E15" s="45">
        <v>56830</v>
      </c>
      <c r="F15" s="42">
        <v>18</v>
      </c>
      <c r="G15" s="56">
        <f t="shared" si="4"/>
        <v>5115</v>
      </c>
      <c r="H15" s="56">
        <f t="shared" si="5"/>
        <v>5115</v>
      </c>
      <c r="I15" s="56">
        <f t="shared" si="6"/>
        <v>10230</v>
      </c>
      <c r="J15" s="57">
        <f t="shared" si="7"/>
        <v>67060</v>
      </c>
    </row>
    <row r="16" spans="1:10" x14ac:dyDescent="0.25">
      <c r="A16" s="59" t="s">
        <v>135</v>
      </c>
      <c r="B16" s="46" t="s">
        <v>136</v>
      </c>
      <c r="C16" s="44" t="s">
        <v>539</v>
      </c>
      <c r="D16" s="44" t="s">
        <v>569</v>
      </c>
      <c r="E16" s="45">
        <v>3600</v>
      </c>
      <c r="F16" s="42">
        <v>18</v>
      </c>
      <c r="G16" s="56">
        <f t="shared" si="4"/>
        <v>324</v>
      </c>
      <c r="H16" s="56">
        <f t="shared" si="5"/>
        <v>324</v>
      </c>
      <c r="I16" s="56">
        <f t="shared" si="6"/>
        <v>648</v>
      </c>
      <c r="J16" s="57">
        <f t="shared" si="7"/>
        <v>4248</v>
      </c>
    </row>
    <row r="17" spans="1:10" x14ac:dyDescent="0.25">
      <c r="A17" s="59" t="s">
        <v>255</v>
      </c>
      <c r="B17" s="46" t="s">
        <v>256</v>
      </c>
      <c r="C17" s="44" t="s">
        <v>540</v>
      </c>
      <c r="D17" s="44" t="s">
        <v>570</v>
      </c>
      <c r="E17" s="45">
        <v>27840</v>
      </c>
      <c r="F17" s="42">
        <v>18</v>
      </c>
      <c r="G17" s="56">
        <f t="shared" si="4"/>
        <v>2506</v>
      </c>
      <c r="H17" s="56">
        <f t="shared" si="5"/>
        <v>2506</v>
      </c>
      <c r="I17" s="56">
        <f t="shared" si="6"/>
        <v>5012</v>
      </c>
      <c r="J17" s="57">
        <f t="shared" si="7"/>
        <v>32852</v>
      </c>
    </row>
    <row r="18" spans="1:10" x14ac:dyDescent="0.25">
      <c r="A18" s="59" t="s">
        <v>306</v>
      </c>
      <c r="B18" s="46" t="s">
        <v>124</v>
      </c>
      <c r="C18" s="44" t="s">
        <v>541</v>
      </c>
      <c r="D18" s="44" t="s">
        <v>571</v>
      </c>
      <c r="E18" s="45">
        <v>600</v>
      </c>
      <c r="F18" s="42">
        <v>18</v>
      </c>
      <c r="G18" s="56">
        <f t="shared" si="4"/>
        <v>54</v>
      </c>
      <c r="H18" s="56">
        <f t="shared" si="5"/>
        <v>54</v>
      </c>
      <c r="I18" s="56">
        <f t="shared" si="6"/>
        <v>108</v>
      </c>
      <c r="J18" s="57">
        <f t="shared" si="7"/>
        <v>708</v>
      </c>
    </row>
    <row r="19" spans="1:10" x14ac:dyDescent="0.25">
      <c r="A19" s="59" t="s">
        <v>135</v>
      </c>
      <c r="B19" s="46" t="s">
        <v>136</v>
      </c>
      <c r="C19" s="44" t="s">
        <v>542</v>
      </c>
      <c r="D19" s="44" t="s">
        <v>571</v>
      </c>
      <c r="E19" s="45">
        <v>1728</v>
      </c>
      <c r="F19" s="42">
        <v>18</v>
      </c>
      <c r="G19" s="56">
        <f t="shared" si="4"/>
        <v>156</v>
      </c>
      <c r="H19" s="56">
        <f t="shared" si="5"/>
        <v>156</v>
      </c>
      <c r="I19" s="56">
        <f t="shared" si="6"/>
        <v>312</v>
      </c>
      <c r="J19" s="57">
        <f t="shared" si="7"/>
        <v>2040</v>
      </c>
    </row>
    <row r="20" spans="1:10" x14ac:dyDescent="0.25">
      <c r="A20" s="59" t="s">
        <v>135</v>
      </c>
      <c r="B20" s="46" t="s">
        <v>136</v>
      </c>
      <c r="C20" s="44" t="s">
        <v>543</v>
      </c>
      <c r="D20" s="44" t="s">
        <v>571</v>
      </c>
      <c r="E20" s="45">
        <v>2592</v>
      </c>
      <c r="F20" s="42">
        <v>18</v>
      </c>
      <c r="G20" s="56">
        <f t="shared" si="4"/>
        <v>233</v>
      </c>
      <c r="H20" s="56">
        <f t="shared" si="5"/>
        <v>233</v>
      </c>
      <c r="I20" s="56">
        <f t="shared" si="6"/>
        <v>466</v>
      </c>
      <c r="J20" s="57">
        <f t="shared" si="7"/>
        <v>3058</v>
      </c>
    </row>
    <row r="21" spans="1:10" x14ac:dyDescent="0.25">
      <c r="A21" s="59" t="s">
        <v>518</v>
      </c>
      <c r="B21" s="46" t="s">
        <v>517</v>
      </c>
      <c r="C21" s="44" t="s">
        <v>544</v>
      </c>
      <c r="D21" s="44" t="s">
        <v>536</v>
      </c>
      <c r="E21" s="45">
        <v>12463.05</v>
      </c>
      <c r="F21" s="42">
        <v>18</v>
      </c>
      <c r="G21" s="56">
        <f t="shared" si="4"/>
        <v>1122</v>
      </c>
      <c r="H21" s="56">
        <f t="shared" si="5"/>
        <v>1122</v>
      </c>
      <c r="I21" s="56">
        <f t="shared" si="6"/>
        <v>2244</v>
      </c>
      <c r="J21" s="57">
        <f t="shared" si="7"/>
        <v>14707.05</v>
      </c>
    </row>
    <row r="22" spans="1:10" x14ac:dyDescent="0.25">
      <c r="A22" s="59" t="s">
        <v>127</v>
      </c>
      <c r="B22" s="46" t="s">
        <v>128</v>
      </c>
      <c r="C22" s="44" t="s">
        <v>545</v>
      </c>
      <c r="D22" s="44" t="s">
        <v>536</v>
      </c>
      <c r="E22" s="45">
        <v>9600</v>
      </c>
      <c r="F22" s="42">
        <v>18</v>
      </c>
      <c r="G22" s="56">
        <f t="shared" si="4"/>
        <v>864</v>
      </c>
      <c r="H22" s="56">
        <f t="shared" si="5"/>
        <v>864</v>
      </c>
      <c r="I22" s="56">
        <f t="shared" si="6"/>
        <v>1728</v>
      </c>
      <c r="J22" s="57">
        <f t="shared" si="7"/>
        <v>11328</v>
      </c>
    </row>
    <row r="23" spans="1:10" x14ac:dyDescent="0.25">
      <c r="A23" s="59" t="s">
        <v>127</v>
      </c>
      <c r="B23" s="46" t="s">
        <v>128</v>
      </c>
      <c r="C23" s="44" t="s">
        <v>546</v>
      </c>
      <c r="D23" s="44" t="s">
        <v>572</v>
      </c>
      <c r="E23" s="45">
        <v>6790</v>
      </c>
      <c r="F23" s="42">
        <v>18</v>
      </c>
      <c r="G23" s="56">
        <f t="shared" si="4"/>
        <v>611</v>
      </c>
      <c r="H23" s="56">
        <f t="shared" si="5"/>
        <v>611</v>
      </c>
      <c r="I23" s="56">
        <f t="shared" si="6"/>
        <v>1222</v>
      </c>
      <c r="J23" s="57">
        <f t="shared" si="7"/>
        <v>8012</v>
      </c>
    </row>
    <row r="24" spans="1:10" x14ac:dyDescent="0.25">
      <c r="A24" s="59" t="s">
        <v>306</v>
      </c>
      <c r="B24" s="46" t="s">
        <v>124</v>
      </c>
      <c r="C24" s="44" t="s">
        <v>547</v>
      </c>
      <c r="D24" s="44" t="s">
        <v>572</v>
      </c>
      <c r="E24" s="45">
        <v>400</v>
      </c>
      <c r="F24" s="42">
        <v>18</v>
      </c>
      <c r="G24" s="56">
        <f t="shared" si="4"/>
        <v>36</v>
      </c>
      <c r="H24" s="56">
        <f t="shared" si="5"/>
        <v>36</v>
      </c>
      <c r="I24" s="56">
        <f t="shared" si="6"/>
        <v>72</v>
      </c>
      <c r="J24" s="57">
        <f t="shared" si="7"/>
        <v>472</v>
      </c>
    </row>
    <row r="25" spans="1:10" x14ac:dyDescent="0.25">
      <c r="A25" s="59" t="s">
        <v>306</v>
      </c>
      <c r="B25" s="46" t="s">
        <v>124</v>
      </c>
      <c r="C25" s="44" t="s">
        <v>548</v>
      </c>
      <c r="D25" s="44" t="s">
        <v>572</v>
      </c>
      <c r="E25" s="45">
        <v>680</v>
      </c>
      <c r="F25" s="42">
        <v>18</v>
      </c>
      <c r="G25" s="56">
        <f t="shared" si="4"/>
        <v>61</v>
      </c>
      <c r="H25" s="56">
        <f t="shared" si="5"/>
        <v>61</v>
      </c>
      <c r="I25" s="56">
        <f t="shared" si="6"/>
        <v>122</v>
      </c>
      <c r="J25" s="57">
        <f t="shared" si="7"/>
        <v>802</v>
      </c>
    </row>
    <row r="26" spans="1:10" x14ac:dyDescent="0.25">
      <c r="A26" s="59" t="s">
        <v>306</v>
      </c>
      <c r="B26" s="46" t="s">
        <v>124</v>
      </c>
      <c r="C26" s="44" t="s">
        <v>549</v>
      </c>
      <c r="D26" s="44" t="s">
        <v>572</v>
      </c>
      <c r="E26" s="45">
        <v>1900</v>
      </c>
      <c r="F26" s="42">
        <v>18</v>
      </c>
      <c r="G26" s="56">
        <f t="shared" si="4"/>
        <v>171</v>
      </c>
      <c r="H26" s="56">
        <f t="shared" si="5"/>
        <v>171</v>
      </c>
      <c r="I26" s="56">
        <f t="shared" si="6"/>
        <v>342</v>
      </c>
      <c r="J26" s="57">
        <f t="shared" si="7"/>
        <v>2242</v>
      </c>
    </row>
    <row r="27" spans="1:10" x14ac:dyDescent="0.25">
      <c r="A27" s="59" t="s">
        <v>135</v>
      </c>
      <c r="B27" s="46" t="s">
        <v>136</v>
      </c>
      <c r="C27" s="44" t="s">
        <v>550</v>
      </c>
      <c r="D27" s="44" t="s">
        <v>528</v>
      </c>
      <c r="E27" s="45">
        <v>3888</v>
      </c>
      <c r="F27" s="42">
        <v>18</v>
      </c>
      <c r="G27" s="56">
        <f t="shared" si="4"/>
        <v>350</v>
      </c>
      <c r="H27" s="56">
        <f t="shared" si="5"/>
        <v>350</v>
      </c>
      <c r="I27" s="56">
        <f t="shared" si="6"/>
        <v>700</v>
      </c>
      <c r="J27" s="57">
        <f t="shared" si="7"/>
        <v>4588</v>
      </c>
    </row>
    <row r="28" spans="1:10" x14ac:dyDescent="0.25">
      <c r="A28" s="59" t="s">
        <v>135</v>
      </c>
      <c r="B28" s="46" t="s">
        <v>136</v>
      </c>
      <c r="C28" s="44" t="s">
        <v>551</v>
      </c>
      <c r="D28" s="44" t="s">
        <v>573</v>
      </c>
      <c r="E28" s="45">
        <v>8208</v>
      </c>
      <c r="F28" s="42">
        <v>18</v>
      </c>
      <c r="G28" s="56">
        <f t="shared" si="4"/>
        <v>739</v>
      </c>
      <c r="H28" s="56">
        <f t="shared" si="5"/>
        <v>739</v>
      </c>
      <c r="I28" s="56">
        <f t="shared" si="6"/>
        <v>1478</v>
      </c>
      <c r="J28" s="57">
        <f t="shared" si="7"/>
        <v>9686</v>
      </c>
    </row>
    <row r="29" spans="1:10" x14ac:dyDescent="0.25">
      <c r="A29" s="59" t="s">
        <v>135</v>
      </c>
      <c r="B29" s="46" t="s">
        <v>136</v>
      </c>
      <c r="C29" s="44" t="s">
        <v>552</v>
      </c>
      <c r="D29" s="44" t="s">
        <v>574</v>
      </c>
      <c r="E29" s="45">
        <v>2460</v>
      </c>
      <c r="F29" s="42">
        <v>18</v>
      </c>
      <c r="G29" s="56">
        <f t="shared" si="4"/>
        <v>221</v>
      </c>
      <c r="H29" s="56">
        <f t="shared" si="5"/>
        <v>221</v>
      </c>
      <c r="I29" s="56">
        <f t="shared" si="6"/>
        <v>442</v>
      </c>
      <c r="J29" s="57">
        <f t="shared" si="7"/>
        <v>2902</v>
      </c>
    </row>
    <row r="30" spans="1:10" x14ac:dyDescent="0.25">
      <c r="A30" s="59" t="s">
        <v>135</v>
      </c>
      <c r="B30" s="46" t="s">
        <v>136</v>
      </c>
      <c r="C30" s="44" t="s">
        <v>553</v>
      </c>
      <c r="D30" s="44" t="s">
        <v>574</v>
      </c>
      <c r="E30" s="45">
        <v>2706</v>
      </c>
      <c r="F30" s="42">
        <v>18</v>
      </c>
      <c r="G30" s="56">
        <f t="shared" si="4"/>
        <v>244</v>
      </c>
      <c r="H30" s="56">
        <f t="shared" si="5"/>
        <v>244</v>
      </c>
      <c r="I30" s="56">
        <f t="shared" si="6"/>
        <v>488</v>
      </c>
      <c r="J30" s="57">
        <f t="shared" si="7"/>
        <v>3194</v>
      </c>
    </row>
    <row r="31" spans="1:10" x14ac:dyDescent="0.25">
      <c r="A31" s="48" t="s">
        <v>575</v>
      </c>
      <c r="B31" s="44" t="s">
        <v>576</v>
      </c>
      <c r="C31" s="44" t="s">
        <v>554</v>
      </c>
      <c r="D31" s="44" t="s">
        <v>574</v>
      </c>
      <c r="E31" s="45">
        <v>18500</v>
      </c>
      <c r="F31" s="42">
        <v>18</v>
      </c>
      <c r="G31" s="56">
        <f t="shared" si="4"/>
        <v>1665</v>
      </c>
      <c r="H31" s="56">
        <f t="shared" si="5"/>
        <v>1665</v>
      </c>
      <c r="I31" s="56">
        <f t="shared" si="6"/>
        <v>3330</v>
      </c>
      <c r="J31" s="57">
        <f t="shared" si="7"/>
        <v>21830</v>
      </c>
    </row>
    <row r="32" spans="1:10" x14ac:dyDescent="0.25">
      <c r="A32" s="59" t="s">
        <v>255</v>
      </c>
      <c r="B32" s="46" t="s">
        <v>256</v>
      </c>
      <c r="C32" s="44" t="s">
        <v>555</v>
      </c>
      <c r="D32" s="44" t="s">
        <v>574</v>
      </c>
      <c r="E32" s="45">
        <v>8640</v>
      </c>
      <c r="F32" s="42">
        <v>18</v>
      </c>
      <c r="G32" s="56">
        <f t="shared" si="4"/>
        <v>778</v>
      </c>
      <c r="H32" s="56">
        <f t="shared" si="5"/>
        <v>778</v>
      </c>
      <c r="I32" s="56">
        <f t="shared" si="6"/>
        <v>1556</v>
      </c>
      <c r="J32" s="57">
        <f t="shared" si="7"/>
        <v>10196</v>
      </c>
    </row>
    <row r="33" spans="1:10" x14ac:dyDescent="0.25">
      <c r="A33" s="59" t="s">
        <v>518</v>
      </c>
      <c r="B33" s="46" t="s">
        <v>517</v>
      </c>
      <c r="C33" s="44" t="s">
        <v>556</v>
      </c>
      <c r="D33" s="44" t="s">
        <v>524</v>
      </c>
      <c r="E33" s="45">
        <v>96621.2</v>
      </c>
      <c r="F33" s="42">
        <v>18</v>
      </c>
      <c r="G33" s="56">
        <f t="shared" si="4"/>
        <v>8696</v>
      </c>
      <c r="H33" s="56">
        <f t="shared" si="5"/>
        <v>8696</v>
      </c>
      <c r="I33" s="56">
        <f t="shared" si="6"/>
        <v>17392</v>
      </c>
      <c r="J33" s="57">
        <f t="shared" si="7"/>
        <v>114013.2</v>
      </c>
    </row>
    <row r="34" spans="1:10" x14ac:dyDescent="0.25">
      <c r="A34" s="59" t="s">
        <v>518</v>
      </c>
      <c r="B34" s="46" t="s">
        <v>517</v>
      </c>
      <c r="C34" s="44" t="s">
        <v>557</v>
      </c>
      <c r="D34" s="44" t="s">
        <v>524</v>
      </c>
      <c r="E34" s="45">
        <v>83333.05</v>
      </c>
      <c r="F34" s="42">
        <v>18</v>
      </c>
      <c r="G34" s="56">
        <f t="shared" si="4"/>
        <v>7500</v>
      </c>
      <c r="H34" s="56">
        <f t="shared" si="5"/>
        <v>7500</v>
      </c>
      <c r="I34" s="56">
        <f t="shared" si="6"/>
        <v>15000</v>
      </c>
      <c r="J34" s="57">
        <f t="shared" si="7"/>
        <v>98333.05</v>
      </c>
    </row>
    <row r="35" spans="1:10" x14ac:dyDescent="0.25">
      <c r="A35" s="59" t="s">
        <v>135</v>
      </c>
      <c r="B35" s="46" t="s">
        <v>136</v>
      </c>
      <c r="C35" s="44" t="s">
        <v>558</v>
      </c>
      <c r="D35" s="44" t="s">
        <v>577</v>
      </c>
      <c r="E35" s="45">
        <v>3192</v>
      </c>
      <c r="F35" s="42">
        <v>18</v>
      </c>
      <c r="G35" s="56">
        <f t="shared" si="4"/>
        <v>287</v>
      </c>
      <c r="H35" s="56">
        <f t="shared" si="5"/>
        <v>287</v>
      </c>
      <c r="I35" s="56">
        <f t="shared" si="6"/>
        <v>574</v>
      </c>
      <c r="J35" s="57">
        <f t="shared" si="7"/>
        <v>3766</v>
      </c>
    </row>
    <row r="36" spans="1:10" x14ac:dyDescent="0.25">
      <c r="A36" s="59" t="s">
        <v>306</v>
      </c>
      <c r="B36" s="46" t="s">
        <v>124</v>
      </c>
      <c r="C36" s="44" t="s">
        <v>559</v>
      </c>
      <c r="D36" s="44" t="s">
        <v>526</v>
      </c>
      <c r="E36" s="45">
        <v>1191</v>
      </c>
      <c r="F36" s="42">
        <v>18</v>
      </c>
      <c r="G36" s="56">
        <f t="shared" si="4"/>
        <v>107</v>
      </c>
      <c r="H36" s="56">
        <f t="shared" si="5"/>
        <v>107</v>
      </c>
      <c r="I36" s="56">
        <f t="shared" si="6"/>
        <v>214</v>
      </c>
      <c r="J36" s="57">
        <f t="shared" si="7"/>
        <v>1405</v>
      </c>
    </row>
    <row r="37" spans="1:10" x14ac:dyDescent="0.25">
      <c r="A37" s="59" t="s">
        <v>306</v>
      </c>
      <c r="B37" s="46" t="s">
        <v>124</v>
      </c>
      <c r="C37" s="44" t="s">
        <v>560</v>
      </c>
      <c r="D37" s="44" t="s">
        <v>526</v>
      </c>
      <c r="E37" s="45">
        <v>1250</v>
      </c>
      <c r="F37" s="42">
        <v>18</v>
      </c>
      <c r="G37" s="56">
        <f t="shared" si="4"/>
        <v>113</v>
      </c>
      <c r="H37" s="56">
        <f t="shared" si="5"/>
        <v>113</v>
      </c>
      <c r="I37" s="56">
        <f t="shared" si="6"/>
        <v>226</v>
      </c>
      <c r="J37" s="57">
        <f t="shared" si="7"/>
        <v>1476</v>
      </c>
    </row>
    <row r="38" spans="1:10" x14ac:dyDescent="0.25">
      <c r="A38" s="59" t="s">
        <v>306</v>
      </c>
      <c r="B38" s="46" t="s">
        <v>124</v>
      </c>
      <c r="C38" s="44" t="s">
        <v>561</v>
      </c>
      <c r="D38" s="44" t="s">
        <v>526</v>
      </c>
      <c r="E38" s="45">
        <v>1732</v>
      </c>
      <c r="F38" s="42">
        <v>18</v>
      </c>
      <c r="G38" s="56">
        <f t="shared" si="4"/>
        <v>156</v>
      </c>
      <c r="H38" s="56">
        <f t="shared" si="5"/>
        <v>156</v>
      </c>
      <c r="I38" s="56">
        <f t="shared" si="6"/>
        <v>312</v>
      </c>
      <c r="J38" s="57">
        <f t="shared" si="7"/>
        <v>2044</v>
      </c>
    </row>
    <row r="39" spans="1:10" x14ac:dyDescent="0.25">
      <c r="A39" s="59" t="s">
        <v>306</v>
      </c>
      <c r="B39" s="46" t="s">
        <v>124</v>
      </c>
      <c r="C39" s="44" t="s">
        <v>562</v>
      </c>
      <c r="D39" s="44" t="s">
        <v>526</v>
      </c>
      <c r="E39" s="45">
        <v>2700</v>
      </c>
      <c r="F39" s="42">
        <v>18</v>
      </c>
      <c r="G39" s="56">
        <f t="shared" si="4"/>
        <v>243</v>
      </c>
      <c r="H39" s="56">
        <f t="shared" si="5"/>
        <v>243</v>
      </c>
      <c r="I39" s="56">
        <f t="shared" si="6"/>
        <v>486</v>
      </c>
      <c r="J39" s="57">
        <f t="shared" si="7"/>
        <v>3186</v>
      </c>
    </row>
    <row r="40" spans="1:10" x14ac:dyDescent="0.25">
      <c r="A40" s="59" t="s">
        <v>306</v>
      </c>
      <c r="B40" s="46" t="s">
        <v>124</v>
      </c>
      <c r="C40" s="44" t="s">
        <v>563</v>
      </c>
      <c r="D40" s="44" t="s">
        <v>526</v>
      </c>
      <c r="E40" s="45">
        <v>1500</v>
      </c>
      <c r="F40" s="42">
        <v>18</v>
      </c>
      <c r="G40" s="56">
        <f t="shared" si="4"/>
        <v>135</v>
      </c>
      <c r="H40" s="56">
        <f t="shared" si="5"/>
        <v>135</v>
      </c>
      <c r="I40" s="56">
        <f t="shared" si="6"/>
        <v>270</v>
      </c>
      <c r="J40" s="57">
        <f t="shared" si="7"/>
        <v>1770</v>
      </c>
    </row>
    <row r="41" spans="1:10" x14ac:dyDescent="0.25">
      <c r="A41" s="59" t="s">
        <v>127</v>
      </c>
      <c r="B41" s="46" t="s">
        <v>128</v>
      </c>
      <c r="C41" s="44" t="s">
        <v>564</v>
      </c>
      <c r="D41" s="44" t="s">
        <v>577</v>
      </c>
      <c r="E41" s="45">
        <v>6750</v>
      </c>
      <c r="F41" s="42">
        <v>18</v>
      </c>
      <c r="G41" s="56">
        <f t="shared" si="4"/>
        <v>608</v>
      </c>
      <c r="H41" s="56">
        <f t="shared" si="5"/>
        <v>608</v>
      </c>
      <c r="I41" s="56">
        <f t="shared" si="6"/>
        <v>1216</v>
      </c>
      <c r="J41" s="57">
        <f t="shared" si="7"/>
        <v>7966</v>
      </c>
    </row>
    <row r="42" spans="1:10" x14ac:dyDescent="0.25">
      <c r="A42" s="48" t="s">
        <v>519</v>
      </c>
      <c r="B42" s="44" t="s">
        <v>520</v>
      </c>
      <c r="C42" s="44" t="s">
        <v>565</v>
      </c>
      <c r="D42" s="44" t="s">
        <v>577</v>
      </c>
      <c r="E42" s="45">
        <v>76670</v>
      </c>
      <c r="F42" s="42">
        <v>18</v>
      </c>
      <c r="G42" s="56">
        <f t="shared" si="4"/>
        <v>6900</v>
      </c>
      <c r="H42" s="56">
        <f t="shared" si="5"/>
        <v>6900</v>
      </c>
      <c r="I42" s="56">
        <f t="shared" si="6"/>
        <v>13800</v>
      </c>
      <c r="J42" s="57">
        <f t="shared" si="7"/>
        <v>90470</v>
      </c>
    </row>
    <row r="43" spans="1:10" x14ac:dyDescent="0.25">
      <c r="A43" s="48" t="s">
        <v>575</v>
      </c>
      <c r="B43" s="44" t="s">
        <v>576</v>
      </c>
      <c r="C43" s="44" t="s">
        <v>566</v>
      </c>
      <c r="D43" s="44" t="s">
        <v>578</v>
      </c>
      <c r="E43" s="45">
        <v>18500</v>
      </c>
      <c r="F43" s="42">
        <v>18</v>
      </c>
      <c r="G43" s="56">
        <f t="shared" si="4"/>
        <v>1665</v>
      </c>
      <c r="H43" s="56">
        <f t="shared" si="5"/>
        <v>1665</v>
      </c>
      <c r="I43" s="56">
        <f t="shared" si="6"/>
        <v>3330</v>
      </c>
      <c r="J43" s="57">
        <f t="shared" si="7"/>
        <v>21830</v>
      </c>
    </row>
    <row r="44" spans="1:10" x14ac:dyDescent="0.25">
      <c r="A44" s="59" t="s">
        <v>306</v>
      </c>
      <c r="B44" s="46" t="s">
        <v>124</v>
      </c>
      <c r="C44" s="44" t="s">
        <v>567</v>
      </c>
      <c r="D44" s="44" t="s">
        <v>526</v>
      </c>
      <c r="E44" s="45">
        <v>1310</v>
      </c>
      <c r="F44" s="42">
        <v>18</v>
      </c>
      <c r="G44" s="56">
        <f t="shared" si="4"/>
        <v>118</v>
      </c>
      <c r="H44" s="56">
        <f t="shared" si="5"/>
        <v>118</v>
      </c>
      <c r="I44" s="56">
        <f t="shared" si="6"/>
        <v>236</v>
      </c>
      <c r="J44" s="57">
        <f t="shared" si="7"/>
        <v>1546</v>
      </c>
    </row>
    <row r="45" spans="1:10" x14ac:dyDescent="0.25">
      <c r="A45" s="48"/>
      <c r="B45" s="44"/>
      <c r="C45" s="44"/>
      <c r="D45" s="44"/>
      <c r="E45" s="45">
        <v>0</v>
      </c>
      <c r="F45" s="42">
        <v>18</v>
      </c>
      <c r="G45" s="56">
        <f t="shared" si="4"/>
        <v>0</v>
      </c>
      <c r="H45" s="56">
        <f t="shared" si="5"/>
        <v>0</v>
      </c>
      <c r="I45" s="56">
        <f t="shared" si="6"/>
        <v>0</v>
      </c>
      <c r="J45" s="57">
        <f t="shared" si="7"/>
        <v>0</v>
      </c>
    </row>
    <row r="46" spans="1:10" x14ac:dyDescent="0.25">
      <c r="A46" s="48"/>
      <c r="B46" s="44"/>
      <c r="C46" s="44"/>
      <c r="D46" s="44"/>
      <c r="E46" s="45">
        <v>0</v>
      </c>
      <c r="F46" s="42">
        <v>18</v>
      </c>
      <c r="G46" s="56">
        <f t="shared" si="4"/>
        <v>0</v>
      </c>
      <c r="H46" s="56">
        <f t="shared" si="5"/>
        <v>0</v>
      </c>
      <c r="I46" s="56">
        <f t="shared" si="6"/>
        <v>0</v>
      </c>
      <c r="J46" s="57">
        <f t="shared" si="7"/>
        <v>0</v>
      </c>
    </row>
    <row r="47" spans="1:10" x14ac:dyDescent="0.25">
      <c r="A47" s="48"/>
      <c r="B47" s="44"/>
      <c r="C47" s="44"/>
      <c r="D47" s="44"/>
      <c r="E47" s="45">
        <v>0</v>
      </c>
      <c r="F47" s="42">
        <v>18</v>
      </c>
      <c r="G47" s="56">
        <f t="shared" si="4"/>
        <v>0</v>
      </c>
      <c r="H47" s="56">
        <f t="shared" si="5"/>
        <v>0</v>
      </c>
      <c r="I47" s="56">
        <f t="shared" si="6"/>
        <v>0</v>
      </c>
      <c r="J47" s="57">
        <f t="shared" si="7"/>
        <v>0</v>
      </c>
    </row>
    <row r="48" spans="1:10" x14ac:dyDescent="0.25">
      <c r="A48" s="48"/>
      <c r="B48" s="44"/>
      <c r="C48" s="44"/>
      <c r="D48" s="44"/>
      <c r="E48" s="45">
        <v>0</v>
      </c>
      <c r="F48" s="42">
        <v>18</v>
      </c>
      <c r="G48" s="56">
        <f t="shared" si="4"/>
        <v>0</v>
      </c>
      <c r="H48" s="56">
        <f t="shared" si="5"/>
        <v>0</v>
      </c>
      <c r="I48" s="56">
        <f t="shared" si="6"/>
        <v>0</v>
      </c>
      <c r="J48" s="57">
        <f t="shared" si="7"/>
        <v>0</v>
      </c>
    </row>
    <row r="49" spans="1:10" x14ac:dyDescent="0.25">
      <c r="A49" s="48"/>
      <c r="B49" s="44"/>
      <c r="C49" s="44"/>
      <c r="D49" s="44"/>
      <c r="E49" s="45">
        <v>0</v>
      </c>
      <c r="F49" s="42">
        <v>18</v>
      </c>
      <c r="G49" s="56">
        <f t="shared" si="4"/>
        <v>0</v>
      </c>
      <c r="H49" s="56">
        <f t="shared" si="5"/>
        <v>0</v>
      </c>
      <c r="I49" s="56">
        <f t="shared" si="6"/>
        <v>0</v>
      </c>
      <c r="J49" s="57">
        <f t="shared" si="7"/>
        <v>0</v>
      </c>
    </row>
    <row r="50" spans="1:10" x14ac:dyDescent="0.25">
      <c r="A50" s="48"/>
      <c r="B50" s="44"/>
      <c r="C50" s="44"/>
      <c r="D50" s="44"/>
      <c r="E50" s="45">
        <v>0</v>
      </c>
      <c r="F50" s="42">
        <v>18</v>
      </c>
      <c r="G50" s="56">
        <f t="shared" si="4"/>
        <v>0</v>
      </c>
      <c r="H50" s="56">
        <f t="shared" si="5"/>
        <v>0</v>
      </c>
      <c r="I50" s="56">
        <f t="shared" si="6"/>
        <v>0</v>
      </c>
      <c r="J50" s="57">
        <f t="shared" si="7"/>
        <v>0</v>
      </c>
    </row>
    <row r="51" spans="1:10" x14ac:dyDescent="0.25">
      <c r="A51" s="48"/>
      <c r="B51" s="44"/>
      <c r="C51" s="44"/>
      <c r="D51" s="44"/>
      <c r="E51" s="45">
        <v>0</v>
      </c>
      <c r="F51" s="42">
        <v>18</v>
      </c>
      <c r="G51" s="56">
        <f t="shared" si="4"/>
        <v>0</v>
      </c>
      <c r="H51" s="56">
        <f t="shared" si="5"/>
        <v>0</v>
      </c>
      <c r="I51" s="56">
        <f t="shared" si="6"/>
        <v>0</v>
      </c>
      <c r="J51" s="57">
        <f t="shared" si="7"/>
        <v>0</v>
      </c>
    </row>
    <row r="52" spans="1:10" x14ac:dyDescent="0.25">
      <c r="A52" s="48"/>
      <c r="B52" s="44"/>
      <c r="C52" s="44"/>
      <c r="D52" s="44"/>
      <c r="E52" s="45">
        <v>0</v>
      </c>
      <c r="F52" s="42">
        <v>18</v>
      </c>
      <c r="G52" s="56">
        <f t="shared" si="4"/>
        <v>0</v>
      </c>
      <c r="H52" s="56">
        <f t="shared" si="5"/>
        <v>0</v>
      </c>
      <c r="I52" s="56">
        <f t="shared" si="6"/>
        <v>0</v>
      </c>
      <c r="J52" s="57">
        <f t="shared" si="7"/>
        <v>0</v>
      </c>
    </row>
    <row r="53" spans="1:10" x14ac:dyDescent="0.25">
      <c r="A53" s="48"/>
      <c r="B53" s="44"/>
      <c r="C53" s="44"/>
      <c r="D53" s="44"/>
      <c r="E53" s="45">
        <v>0</v>
      </c>
      <c r="F53" s="42">
        <v>18</v>
      </c>
      <c r="G53" s="56">
        <f t="shared" si="4"/>
        <v>0</v>
      </c>
      <c r="H53" s="56">
        <f t="shared" si="5"/>
        <v>0</v>
      </c>
      <c r="I53" s="56">
        <f t="shared" si="6"/>
        <v>0</v>
      </c>
      <c r="J53" s="57">
        <f t="shared" si="7"/>
        <v>0</v>
      </c>
    </row>
    <row r="54" spans="1:10" x14ac:dyDescent="0.25">
      <c r="A54" s="48"/>
      <c r="B54" s="44"/>
      <c r="C54" s="44"/>
      <c r="D54" s="44"/>
      <c r="E54" s="45">
        <v>0</v>
      </c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48"/>
      <c r="B55" s="44"/>
      <c r="C55" s="44"/>
      <c r="D55" s="44"/>
      <c r="E55" s="45">
        <v>0</v>
      </c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48"/>
      <c r="B56" s="44"/>
      <c r="C56" s="44"/>
      <c r="D56" s="44"/>
      <c r="E56" s="45">
        <v>0</v>
      </c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48"/>
      <c r="B57" s="44"/>
      <c r="C57" s="44"/>
      <c r="D57" s="44"/>
      <c r="E57" s="45">
        <v>0</v>
      </c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48"/>
      <c r="B58" s="44"/>
      <c r="C58" s="44"/>
      <c r="D58" s="44"/>
      <c r="E58" s="45">
        <v>0</v>
      </c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48"/>
      <c r="B59" s="44"/>
      <c r="C59" s="44"/>
      <c r="D59" s="44"/>
      <c r="E59" s="45">
        <v>0</v>
      </c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48"/>
      <c r="B60" s="44"/>
      <c r="C60" s="44"/>
      <c r="D60" s="44"/>
      <c r="E60" s="45">
        <v>0</v>
      </c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  <row r="61" spans="1:10" x14ac:dyDescent="0.25">
      <c r="A61" s="48"/>
      <c r="B61" s="44"/>
      <c r="C61" s="44"/>
      <c r="D61" s="44"/>
      <c r="E61" s="45">
        <v>0</v>
      </c>
      <c r="F61" s="42">
        <v>18</v>
      </c>
      <c r="G61" s="56">
        <f t="shared" si="4"/>
        <v>0</v>
      </c>
      <c r="H61" s="56">
        <f t="shared" si="5"/>
        <v>0</v>
      </c>
      <c r="I61" s="56">
        <f t="shared" si="6"/>
        <v>0</v>
      </c>
      <c r="J61" s="57">
        <f t="shared" si="7"/>
        <v>0</v>
      </c>
    </row>
    <row r="62" spans="1:10" x14ac:dyDescent="0.25">
      <c r="A62" s="48"/>
      <c r="B62" s="44"/>
      <c r="C62" s="44"/>
      <c r="D62" s="44"/>
      <c r="E62" s="45">
        <v>0</v>
      </c>
      <c r="F62" s="42">
        <v>18</v>
      </c>
      <c r="G62" s="56">
        <f t="shared" si="4"/>
        <v>0</v>
      </c>
      <c r="H62" s="56">
        <f t="shared" si="5"/>
        <v>0</v>
      </c>
      <c r="I62" s="56">
        <f t="shared" si="6"/>
        <v>0</v>
      </c>
      <c r="J62" s="57">
        <f t="shared" si="7"/>
        <v>0</v>
      </c>
    </row>
    <row r="63" spans="1:10" x14ac:dyDescent="0.25">
      <c r="A63" s="48"/>
      <c r="B63" s="44"/>
      <c r="C63" s="44"/>
      <c r="D63" s="44"/>
      <c r="E63" s="45">
        <v>0</v>
      </c>
      <c r="F63" s="42">
        <v>18</v>
      </c>
      <c r="G63" s="56">
        <f t="shared" si="4"/>
        <v>0</v>
      </c>
      <c r="H63" s="56">
        <f t="shared" si="5"/>
        <v>0</v>
      </c>
      <c r="I63" s="56">
        <f t="shared" si="6"/>
        <v>0</v>
      </c>
      <c r="J63" s="57">
        <f t="shared" si="7"/>
        <v>0</v>
      </c>
    </row>
    <row r="64" spans="1:10" x14ac:dyDescent="0.25">
      <c r="A64" s="48"/>
      <c r="B64" s="44"/>
      <c r="C64" s="44"/>
      <c r="D64" s="44"/>
      <c r="E64" s="45">
        <v>0</v>
      </c>
      <c r="F64" s="42">
        <v>18</v>
      </c>
      <c r="G64" s="56">
        <f t="shared" si="4"/>
        <v>0</v>
      </c>
      <c r="H64" s="56">
        <f t="shared" si="5"/>
        <v>0</v>
      </c>
      <c r="I64" s="56">
        <f t="shared" si="6"/>
        <v>0</v>
      </c>
      <c r="J64" s="57">
        <f t="shared" si="7"/>
        <v>0</v>
      </c>
    </row>
    <row r="65" spans="1:10" x14ac:dyDescent="0.25">
      <c r="A65" s="48"/>
      <c r="B65" s="44"/>
      <c r="C65" s="44"/>
      <c r="D65" s="44"/>
      <c r="E65" s="45">
        <v>0</v>
      </c>
      <c r="F65" s="42">
        <v>18</v>
      </c>
      <c r="G65" s="56">
        <f t="shared" si="4"/>
        <v>0</v>
      </c>
      <c r="H65" s="56">
        <f t="shared" si="5"/>
        <v>0</v>
      </c>
      <c r="I65" s="56">
        <f t="shared" si="6"/>
        <v>0</v>
      </c>
      <c r="J65" s="57">
        <f t="shared" si="7"/>
        <v>0</v>
      </c>
    </row>
    <row r="66" spans="1:10" x14ac:dyDescent="0.25">
      <c r="A66" s="48"/>
      <c r="B66" s="44"/>
      <c r="C66" s="44"/>
      <c r="D66" s="44"/>
      <c r="E66" s="45">
        <v>0</v>
      </c>
      <c r="F66" s="42">
        <v>18</v>
      </c>
      <c r="G66" s="56">
        <f t="shared" si="4"/>
        <v>0</v>
      </c>
      <c r="H66" s="56">
        <f t="shared" si="5"/>
        <v>0</v>
      </c>
      <c r="I66" s="56">
        <f t="shared" si="6"/>
        <v>0</v>
      </c>
      <c r="J66" s="57">
        <f t="shared" si="7"/>
        <v>0</v>
      </c>
    </row>
    <row r="67" spans="1:10" x14ac:dyDescent="0.25">
      <c r="A67" s="48"/>
      <c r="B67" s="44"/>
      <c r="C67" s="44"/>
      <c r="D67" s="44"/>
      <c r="E67" s="45">
        <v>0</v>
      </c>
      <c r="F67" s="42">
        <v>18</v>
      </c>
      <c r="G67" s="56">
        <f t="shared" ref="G67:G130" si="8">ROUND((E67*F67%)/2,)</f>
        <v>0</v>
      </c>
      <c r="H67" s="56">
        <f t="shared" ref="H67:H130" si="9">G67</f>
        <v>0</v>
      </c>
      <c r="I67" s="56">
        <f t="shared" ref="I67:I130" si="10">G67+H67</f>
        <v>0</v>
      </c>
      <c r="J67" s="57">
        <f t="shared" ref="J67:J130" si="11">E67+I67</f>
        <v>0</v>
      </c>
    </row>
    <row r="68" spans="1:10" x14ac:dyDescent="0.25">
      <c r="A68" s="48"/>
      <c r="B68" s="44"/>
      <c r="C68" s="44"/>
      <c r="D68" s="44"/>
      <c r="E68" s="45">
        <v>0</v>
      </c>
      <c r="F68" s="42">
        <v>18</v>
      </c>
      <c r="G68" s="56">
        <f t="shared" si="8"/>
        <v>0</v>
      </c>
      <c r="H68" s="56">
        <f t="shared" si="9"/>
        <v>0</v>
      </c>
      <c r="I68" s="56">
        <f t="shared" si="10"/>
        <v>0</v>
      </c>
      <c r="J68" s="57">
        <f t="shared" si="11"/>
        <v>0</v>
      </c>
    </row>
    <row r="69" spans="1:10" x14ac:dyDescent="0.25">
      <c r="A69" s="48"/>
      <c r="B69" s="44"/>
      <c r="C69" s="44"/>
      <c r="D69" s="44"/>
      <c r="E69" s="45">
        <v>0</v>
      </c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48"/>
      <c r="B70" s="44"/>
      <c r="C70" s="44"/>
      <c r="D70" s="44"/>
      <c r="E70" s="45">
        <v>0</v>
      </c>
      <c r="F70" s="42">
        <v>18</v>
      </c>
      <c r="G70" s="56">
        <f t="shared" si="8"/>
        <v>0</v>
      </c>
      <c r="H70" s="56">
        <f t="shared" si="9"/>
        <v>0</v>
      </c>
      <c r="I70" s="56">
        <f t="shared" si="10"/>
        <v>0</v>
      </c>
      <c r="J70" s="57">
        <f t="shared" si="11"/>
        <v>0</v>
      </c>
    </row>
    <row r="71" spans="1:10" x14ac:dyDescent="0.25">
      <c r="A71" s="48"/>
      <c r="B71" s="44"/>
      <c r="C71" s="44"/>
      <c r="D71" s="44"/>
      <c r="E71" s="45">
        <v>0</v>
      </c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48"/>
      <c r="B72" s="44"/>
      <c r="C72" s="44"/>
      <c r="D72" s="44"/>
      <c r="E72" s="45">
        <v>0</v>
      </c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48"/>
      <c r="B73" s="44"/>
      <c r="C73" s="44"/>
      <c r="D73" s="44"/>
      <c r="E73" s="45">
        <v>0</v>
      </c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48"/>
      <c r="B74" s="44"/>
      <c r="C74" s="44"/>
      <c r="D74" s="44"/>
      <c r="E74" s="45">
        <v>0</v>
      </c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48"/>
      <c r="B75" s="44"/>
      <c r="C75" s="44"/>
      <c r="D75" s="44"/>
      <c r="E75" s="45">
        <v>0</v>
      </c>
      <c r="F75" s="42">
        <v>18</v>
      </c>
      <c r="G75" s="56">
        <f t="shared" si="8"/>
        <v>0</v>
      </c>
      <c r="H75" s="56">
        <f t="shared" si="9"/>
        <v>0</v>
      </c>
      <c r="I75" s="56">
        <f t="shared" si="10"/>
        <v>0</v>
      </c>
      <c r="J75" s="57">
        <f t="shared" si="11"/>
        <v>0</v>
      </c>
    </row>
    <row r="76" spans="1:10" x14ac:dyDescent="0.25">
      <c r="A76" s="48"/>
      <c r="B76" s="44"/>
      <c r="C76" s="44"/>
      <c r="D76" s="44"/>
      <c r="E76" s="45">
        <v>0</v>
      </c>
      <c r="F76" s="42">
        <v>18</v>
      </c>
      <c r="G76" s="56">
        <f t="shared" si="8"/>
        <v>0</v>
      </c>
      <c r="H76" s="56">
        <f t="shared" si="9"/>
        <v>0</v>
      </c>
      <c r="I76" s="56">
        <f t="shared" si="10"/>
        <v>0</v>
      </c>
      <c r="J76" s="57">
        <f t="shared" si="11"/>
        <v>0</v>
      </c>
    </row>
    <row r="77" spans="1:10" x14ac:dyDescent="0.25">
      <c r="A77" s="48"/>
      <c r="B77" s="44"/>
      <c r="C77" s="44"/>
      <c r="D77" s="44"/>
      <c r="E77" s="45">
        <v>0</v>
      </c>
      <c r="F77" s="42">
        <v>18</v>
      </c>
      <c r="G77" s="56">
        <f t="shared" si="8"/>
        <v>0</v>
      </c>
      <c r="H77" s="56">
        <f t="shared" si="9"/>
        <v>0</v>
      </c>
      <c r="I77" s="56">
        <f t="shared" si="10"/>
        <v>0</v>
      </c>
      <c r="J77" s="57">
        <f t="shared" si="11"/>
        <v>0</v>
      </c>
    </row>
    <row r="78" spans="1:10" x14ac:dyDescent="0.25">
      <c r="A78" s="48"/>
      <c r="B78" s="44"/>
      <c r="C78" s="44"/>
      <c r="D78" s="44"/>
      <c r="E78" s="45">
        <v>0</v>
      </c>
      <c r="F78" s="42">
        <v>18</v>
      </c>
      <c r="G78" s="56">
        <f t="shared" si="8"/>
        <v>0</v>
      </c>
      <c r="H78" s="56">
        <f t="shared" si="9"/>
        <v>0</v>
      </c>
      <c r="I78" s="56">
        <f t="shared" si="10"/>
        <v>0</v>
      </c>
      <c r="J78" s="57">
        <f t="shared" si="11"/>
        <v>0</v>
      </c>
    </row>
    <row r="79" spans="1:10" x14ac:dyDescent="0.25">
      <c r="A79" s="48"/>
      <c r="B79" s="44"/>
      <c r="C79" s="44"/>
      <c r="D79" s="44"/>
      <c r="E79" s="45">
        <v>0</v>
      </c>
      <c r="F79" s="42">
        <v>18</v>
      </c>
      <c r="G79" s="56">
        <f t="shared" si="8"/>
        <v>0</v>
      </c>
      <c r="H79" s="56">
        <f t="shared" si="9"/>
        <v>0</v>
      </c>
      <c r="I79" s="56">
        <f t="shared" si="10"/>
        <v>0</v>
      </c>
      <c r="J79" s="57">
        <f t="shared" si="11"/>
        <v>0</v>
      </c>
    </row>
    <row r="80" spans="1:10" x14ac:dyDescent="0.25">
      <c r="A80" s="48"/>
      <c r="B80" s="44"/>
      <c r="C80" s="44"/>
      <c r="D80" s="44"/>
      <c r="E80" s="45">
        <v>0</v>
      </c>
      <c r="F80" s="42">
        <v>18</v>
      </c>
      <c r="G80" s="56">
        <f t="shared" si="8"/>
        <v>0</v>
      </c>
      <c r="H80" s="56">
        <f t="shared" si="9"/>
        <v>0</v>
      </c>
      <c r="I80" s="56">
        <f t="shared" si="10"/>
        <v>0</v>
      </c>
      <c r="J80" s="57">
        <f t="shared" si="11"/>
        <v>0</v>
      </c>
    </row>
    <row r="81" spans="1:10" x14ac:dyDescent="0.25">
      <c r="A81" s="48"/>
      <c r="B81" s="44"/>
      <c r="C81" s="44"/>
      <c r="D81" s="44"/>
      <c r="E81" s="45">
        <v>0</v>
      </c>
      <c r="F81" s="42">
        <v>18</v>
      </c>
      <c r="G81" s="56">
        <f t="shared" si="8"/>
        <v>0</v>
      </c>
      <c r="H81" s="56">
        <f t="shared" si="9"/>
        <v>0</v>
      </c>
      <c r="I81" s="56">
        <f t="shared" si="10"/>
        <v>0</v>
      </c>
      <c r="J81" s="57">
        <f t="shared" si="11"/>
        <v>0</v>
      </c>
    </row>
    <row r="82" spans="1:10" x14ac:dyDescent="0.25">
      <c r="A82" s="48"/>
      <c r="B82" s="44"/>
      <c r="C82" s="44"/>
      <c r="D82" s="44"/>
      <c r="E82" s="45">
        <v>0</v>
      </c>
      <c r="F82" s="42">
        <v>18</v>
      </c>
      <c r="G82" s="56">
        <f t="shared" si="8"/>
        <v>0</v>
      </c>
      <c r="H82" s="56">
        <f t="shared" si="9"/>
        <v>0</v>
      </c>
      <c r="I82" s="56">
        <f t="shared" si="10"/>
        <v>0</v>
      </c>
      <c r="J82" s="57">
        <f t="shared" si="11"/>
        <v>0</v>
      </c>
    </row>
    <row r="83" spans="1:10" x14ac:dyDescent="0.25">
      <c r="A83" s="48"/>
      <c r="B83" s="44"/>
      <c r="C83" s="44"/>
      <c r="D83" s="44"/>
      <c r="E83" s="45">
        <v>0</v>
      </c>
      <c r="F83" s="42">
        <v>18</v>
      </c>
      <c r="G83" s="56">
        <f t="shared" si="8"/>
        <v>0</v>
      </c>
      <c r="H83" s="56">
        <f t="shared" si="9"/>
        <v>0</v>
      </c>
      <c r="I83" s="56">
        <f t="shared" si="10"/>
        <v>0</v>
      </c>
      <c r="J83" s="57">
        <f t="shared" si="11"/>
        <v>0</v>
      </c>
    </row>
    <row r="84" spans="1:10" x14ac:dyDescent="0.25">
      <c r="A84" s="48"/>
      <c r="B84" s="44"/>
      <c r="C84" s="44"/>
      <c r="D84" s="44"/>
      <c r="E84" s="45">
        <v>0</v>
      </c>
      <c r="F84" s="42">
        <v>18</v>
      </c>
      <c r="G84" s="56">
        <f t="shared" si="8"/>
        <v>0</v>
      </c>
      <c r="H84" s="56">
        <f t="shared" si="9"/>
        <v>0</v>
      </c>
      <c r="I84" s="56">
        <f t="shared" si="10"/>
        <v>0</v>
      </c>
      <c r="J84" s="57">
        <f t="shared" si="11"/>
        <v>0</v>
      </c>
    </row>
    <row r="85" spans="1:10" x14ac:dyDescent="0.25">
      <c r="A85" s="48"/>
      <c r="B85" s="44"/>
      <c r="C85" s="44"/>
      <c r="D85" s="44"/>
      <c r="E85" s="45">
        <v>0</v>
      </c>
      <c r="F85" s="42">
        <v>18</v>
      </c>
      <c r="G85" s="56">
        <f t="shared" si="8"/>
        <v>0</v>
      </c>
      <c r="H85" s="56">
        <f t="shared" si="9"/>
        <v>0</v>
      </c>
      <c r="I85" s="56">
        <f t="shared" si="10"/>
        <v>0</v>
      </c>
      <c r="J85" s="57">
        <f t="shared" si="11"/>
        <v>0</v>
      </c>
    </row>
    <row r="86" spans="1:10" x14ac:dyDescent="0.25">
      <c r="A86" s="48"/>
      <c r="B86" s="44"/>
      <c r="C86" s="44"/>
      <c r="D86" s="44"/>
      <c r="E86" s="45">
        <v>0</v>
      </c>
      <c r="F86" s="42">
        <v>18</v>
      </c>
      <c r="G86" s="56">
        <f t="shared" si="8"/>
        <v>0</v>
      </c>
      <c r="H86" s="56">
        <f t="shared" si="9"/>
        <v>0</v>
      </c>
      <c r="I86" s="56">
        <f t="shared" si="10"/>
        <v>0</v>
      </c>
      <c r="J86" s="57">
        <f t="shared" si="11"/>
        <v>0</v>
      </c>
    </row>
    <row r="87" spans="1:10" x14ac:dyDescent="0.25">
      <c r="A87" s="48"/>
      <c r="B87" s="44"/>
      <c r="C87" s="44"/>
      <c r="D87" s="44"/>
      <c r="E87" s="45">
        <v>0</v>
      </c>
      <c r="F87" s="42">
        <v>18</v>
      </c>
      <c r="G87" s="56">
        <f t="shared" si="8"/>
        <v>0</v>
      </c>
      <c r="H87" s="56">
        <f t="shared" si="9"/>
        <v>0</v>
      </c>
      <c r="I87" s="56">
        <f t="shared" si="10"/>
        <v>0</v>
      </c>
      <c r="J87" s="57">
        <f t="shared" si="11"/>
        <v>0</v>
      </c>
    </row>
    <row r="88" spans="1:10" x14ac:dyDescent="0.25">
      <c r="A88" s="48"/>
      <c r="B88" s="44"/>
      <c r="C88" s="44"/>
      <c r="D88" s="44"/>
      <c r="E88" s="45">
        <v>0</v>
      </c>
      <c r="F88" s="42">
        <v>18</v>
      </c>
      <c r="G88" s="56">
        <f t="shared" si="8"/>
        <v>0</v>
      </c>
      <c r="H88" s="56">
        <f t="shared" si="9"/>
        <v>0</v>
      </c>
      <c r="I88" s="56">
        <f t="shared" si="10"/>
        <v>0</v>
      </c>
      <c r="J88" s="57">
        <f t="shared" si="11"/>
        <v>0</v>
      </c>
    </row>
    <row r="89" spans="1:10" x14ac:dyDescent="0.25">
      <c r="A89" s="48"/>
      <c r="B89" s="44"/>
      <c r="C89" s="44"/>
      <c r="D89" s="44"/>
      <c r="E89" s="45">
        <v>0</v>
      </c>
      <c r="F89" s="42">
        <v>18</v>
      </c>
      <c r="G89" s="56">
        <f t="shared" si="8"/>
        <v>0</v>
      </c>
      <c r="H89" s="56">
        <f t="shared" si="9"/>
        <v>0</v>
      </c>
      <c r="I89" s="56">
        <f t="shared" si="10"/>
        <v>0</v>
      </c>
      <c r="J89" s="57">
        <f t="shared" si="11"/>
        <v>0</v>
      </c>
    </row>
    <row r="90" spans="1:10" x14ac:dyDescent="0.25">
      <c r="A90" s="48"/>
      <c r="B90" s="44"/>
      <c r="C90" s="44"/>
      <c r="D90" s="44"/>
      <c r="E90" s="45">
        <v>0</v>
      </c>
      <c r="F90" s="42">
        <v>18</v>
      </c>
      <c r="G90" s="56">
        <f t="shared" si="8"/>
        <v>0</v>
      </c>
      <c r="H90" s="56">
        <f t="shared" si="9"/>
        <v>0</v>
      </c>
      <c r="I90" s="56">
        <f t="shared" si="10"/>
        <v>0</v>
      </c>
      <c r="J90" s="57">
        <f t="shared" si="11"/>
        <v>0</v>
      </c>
    </row>
    <row r="91" spans="1:10" x14ac:dyDescent="0.25">
      <c r="A91" s="48"/>
      <c r="B91" s="44"/>
      <c r="C91" s="44"/>
      <c r="D91" s="44"/>
      <c r="E91" s="45">
        <v>0</v>
      </c>
      <c r="F91" s="42">
        <v>18</v>
      </c>
      <c r="G91" s="56">
        <f t="shared" si="8"/>
        <v>0</v>
      </c>
      <c r="H91" s="56">
        <f t="shared" si="9"/>
        <v>0</v>
      </c>
      <c r="I91" s="56">
        <f t="shared" si="10"/>
        <v>0</v>
      </c>
      <c r="J91" s="57">
        <f t="shared" si="11"/>
        <v>0</v>
      </c>
    </row>
    <row r="92" spans="1:10" x14ac:dyDescent="0.25">
      <c r="A92" s="48"/>
      <c r="B92" s="44"/>
      <c r="C92" s="44"/>
      <c r="D92" s="44"/>
      <c r="E92" s="45">
        <v>0</v>
      </c>
      <c r="F92" s="42">
        <v>18</v>
      </c>
      <c r="G92" s="56">
        <f t="shared" si="8"/>
        <v>0</v>
      </c>
      <c r="H92" s="56">
        <f t="shared" si="9"/>
        <v>0</v>
      </c>
      <c r="I92" s="56">
        <f t="shared" si="10"/>
        <v>0</v>
      </c>
      <c r="J92" s="57">
        <f t="shared" si="11"/>
        <v>0</v>
      </c>
    </row>
    <row r="93" spans="1:10" x14ac:dyDescent="0.25">
      <c r="A93" s="48"/>
      <c r="B93" s="44"/>
      <c r="C93" s="44"/>
      <c r="D93" s="44"/>
      <c r="E93" s="45">
        <v>0</v>
      </c>
      <c r="F93" s="42">
        <v>18</v>
      </c>
      <c r="G93" s="56">
        <f t="shared" si="8"/>
        <v>0</v>
      </c>
      <c r="H93" s="56">
        <f t="shared" si="9"/>
        <v>0</v>
      </c>
      <c r="I93" s="56">
        <f t="shared" si="10"/>
        <v>0</v>
      </c>
      <c r="J93" s="57">
        <f t="shared" si="11"/>
        <v>0</v>
      </c>
    </row>
    <row r="94" spans="1:10" x14ac:dyDescent="0.25">
      <c r="A94" s="48"/>
      <c r="B94" s="44"/>
      <c r="C94" s="44"/>
      <c r="D94" s="44"/>
      <c r="E94" s="45">
        <v>0</v>
      </c>
      <c r="F94" s="42">
        <v>18</v>
      </c>
      <c r="G94" s="56">
        <f t="shared" si="8"/>
        <v>0</v>
      </c>
      <c r="H94" s="56">
        <f t="shared" si="9"/>
        <v>0</v>
      </c>
      <c r="I94" s="56">
        <f t="shared" si="10"/>
        <v>0</v>
      </c>
      <c r="J94" s="57">
        <f t="shared" si="11"/>
        <v>0</v>
      </c>
    </row>
    <row r="95" spans="1:10" x14ac:dyDescent="0.25">
      <c r="A95" s="48"/>
      <c r="B95" s="44"/>
      <c r="C95" s="44"/>
      <c r="D95" s="44"/>
      <c r="E95" s="45">
        <v>0</v>
      </c>
      <c r="F95" s="42">
        <v>18</v>
      </c>
      <c r="G95" s="56">
        <f t="shared" si="8"/>
        <v>0</v>
      </c>
      <c r="H95" s="56">
        <f t="shared" si="9"/>
        <v>0</v>
      </c>
      <c r="I95" s="56">
        <f t="shared" si="10"/>
        <v>0</v>
      </c>
      <c r="J95" s="57">
        <f t="shared" si="11"/>
        <v>0</v>
      </c>
    </row>
    <row r="96" spans="1:10" x14ac:dyDescent="0.25">
      <c r="A96" s="48"/>
      <c r="B96" s="44"/>
      <c r="C96" s="44"/>
      <c r="D96" s="44"/>
      <c r="E96" s="45">
        <v>0</v>
      </c>
      <c r="F96" s="42">
        <v>18</v>
      </c>
      <c r="G96" s="56">
        <f t="shared" si="8"/>
        <v>0</v>
      </c>
      <c r="H96" s="56">
        <f t="shared" si="9"/>
        <v>0</v>
      </c>
      <c r="I96" s="56">
        <f t="shared" si="10"/>
        <v>0</v>
      </c>
      <c r="J96" s="57">
        <f t="shared" si="11"/>
        <v>0</v>
      </c>
    </row>
    <row r="97" spans="1:10" x14ac:dyDescent="0.25">
      <c r="A97" s="48"/>
      <c r="B97" s="44"/>
      <c r="C97" s="44"/>
      <c r="D97" s="44"/>
      <c r="E97" s="45">
        <v>0</v>
      </c>
      <c r="F97" s="42">
        <v>18</v>
      </c>
      <c r="G97" s="56">
        <f t="shared" si="8"/>
        <v>0</v>
      </c>
      <c r="H97" s="56">
        <f t="shared" si="9"/>
        <v>0</v>
      </c>
      <c r="I97" s="56">
        <f t="shared" si="10"/>
        <v>0</v>
      </c>
      <c r="J97" s="57">
        <f t="shared" si="11"/>
        <v>0</v>
      </c>
    </row>
    <row r="98" spans="1:10" x14ac:dyDescent="0.25">
      <c r="A98" s="48"/>
      <c r="B98" s="44"/>
      <c r="C98" s="44"/>
      <c r="D98" s="44"/>
      <c r="E98" s="45">
        <v>0</v>
      </c>
      <c r="F98" s="42">
        <v>18</v>
      </c>
      <c r="G98" s="56">
        <f t="shared" si="8"/>
        <v>0</v>
      </c>
      <c r="H98" s="56">
        <f t="shared" si="9"/>
        <v>0</v>
      </c>
      <c r="I98" s="56">
        <f t="shared" si="10"/>
        <v>0</v>
      </c>
      <c r="J98" s="57">
        <f t="shared" si="11"/>
        <v>0</v>
      </c>
    </row>
    <row r="99" spans="1:10" x14ac:dyDescent="0.25">
      <c r="A99" s="48"/>
      <c r="B99" s="44"/>
      <c r="C99" s="44"/>
      <c r="D99" s="44"/>
      <c r="E99" s="45">
        <v>0</v>
      </c>
      <c r="F99" s="42">
        <v>18</v>
      </c>
      <c r="G99" s="56">
        <f t="shared" si="8"/>
        <v>0</v>
      </c>
      <c r="H99" s="56">
        <f t="shared" si="9"/>
        <v>0</v>
      </c>
      <c r="I99" s="56">
        <f t="shared" si="10"/>
        <v>0</v>
      </c>
      <c r="J99" s="57">
        <f t="shared" si="11"/>
        <v>0</v>
      </c>
    </row>
    <row r="100" spans="1:10" x14ac:dyDescent="0.25">
      <c r="A100" s="48"/>
      <c r="B100" s="44"/>
      <c r="C100" s="44"/>
      <c r="D100" s="44"/>
      <c r="E100" s="45">
        <v>0</v>
      </c>
      <c r="F100" s="42">
        <v>18</v>
      </c>
      <c r="G100" s="56">
        <f t="shared" si="8"/>
        <v>0</v>
      </c>
      <c r="H100" s="56">
        <f t="shared" si="9"/>
        <v>0</v>
      </c>
      <c r="I100" s="56">
        <f t="shared" si="10"/>
        <v>0</v>
      </c>
      <c r="J100" s="57">
        <f t="shared" si="11"/>
        <v>0</v>
      </c>
    </row>
    <row r="101" spans="1:10" x14ac:dyDescent="0.25">
      <c r="A101" s="48"/>
      <c r="B101" s="44"/>
      <c r="C101" s="44"/>
      <c r="D101" s="44"/>
      <c r="E101" s="45">
        <v>0</v>
      </c>
      <c r="F101" s="42">
        <v>18</v>
      </c>
      <c r="G101" s="56">
        <f t="shared" si="8"/>
        <v>0</v>
      </c>
      <c r="H101" s="56">
        <f t="shared" si="9"/>
        <v>0</v>
      </c>
      <c r="I101" s="56">
        <f t="shared" si="10"/>
        <v>0</v>
      </c>
      <c r="J101" s="57">
        <f t="shared" si="11"/>
        <v>0</v>
      </c>
    </row>
    <row r="102" spans="1:10" x14ac:dyDescent="0.25">
      <c r="A102" s="48"/>
      <c r="B102" s="44"/>
      <c r="C102" s="44"/>
      <c r="D102" s="44"/>
      <c r="E102" s="45">
        <v>0</v>
      </c>
      <c r="F102" s="42">
        <v>18</v>
      </c>
      <c r="G102" s="56">
        <f t="shared" si="8"/>
        <v>0</v>
      </c>
      <c r="H102" s="56">
        <f t="shared" si="9"/>
        <v>0</v>
      </c>
      <c r="I102" s="56">
        <f t="shared" si="10"/>
        <v>0</v>
      </c>
      <c r="J102" s="57">
        <f t="shared" si="11"/>
        <v>0</v>
      </c>
    </row>
    <row r="103" spans="1:10" x14ac:dyDescent="0.25">
      <c r="A103" s="48"/>
      <c r="B103" s="44"/>
      <c r="C103" s="44"/>
      <c r="D103" s="44"/>
      <c r="E103" s="45">
        <v>0</v>
      </c>
      <c r="F103" s="42">
        <v>18</v>
      </c>
      <c r="G103" s="56">
        <f t="shared" si="8"/>
        <v>0</v>
      </c>
      <c r="H103" s="56">
        <f t="shared" si="9"/>
        <v>0</v>
      </c>
      <c r="I103" s="56">
        <f t="shared" si="10"/>
        <v>0</v>
      </c>
      <c r="J103" s="57">
        <f t="shared" si="11"/>
        <v>0</v>
      </c>
    </row>
    <row r="104" spans="1:10" x14ac:dyDescent="0.25">
      <c r="A104" s="48"/>
      <c r="B104" s="44"/>
      <c r="C104" s="44"/>
      <c r="D104" s="44"/>
      <c r="E104" s="45">
        <v>0</v>
      </c>
      <c r="F104" s="42">
        <v>18</v>
      </c>
      <c r="G104" s="56">
        <f t="shared" si="8"/>
        <v>0</v>
      </c>
      <c r="H104" s="56">
        <f t="shared" si="9"/>
        <v>0</v>
      </c>
      <c r="I104" s="56">
        <f t="shared" si="10"/>
        <v>0</v>
      </c>
      <c r="J104" s="57">
        <f t="shared" si="11"/>
        <v>0</v>
      </c>
    </row>
    <row r="105" spans="1:10" x14ac:dyDescent="0.25">
      <c r="A105" s="48"/>
      <c r="B105" s="44"/>
      <c r="C105" s="44"/>
      <c r="D105" s="44"/>
      <c r="E105" s="45">
        <v>0</v>
      </c>
      <c r="F105" s="42">
        <v>18</v>
      </c>
      <c r="G105" s="56">
        <f t="shared" si="8"/>
        <v>0</v>
      </c>
      <c r="H105" s="56">
        <f t="shared" si="9"/>
        <v>0</v>
      </c>
      <c r="I105" s="56">
        <f t="shared" si="10"/>
        <v>0</v>
      </c>
      <c r="J105" s="57">
        <f t="shared" si="11"/>
        <v>0</v>
      </c>
    </row>
    <row r="106" spans="1:10" x14ac:dyDescent="0.25">
      <c r="A106" s="48"/>
      <c r="B106" s="44"/>
      <c r="C106" s="44"/>
      <c r="D106" s="44"/>
      <c r="E106" s="45">
        <v>0</v>
      </c>
      <c r="F106" s="42">
        <v>18</v>
      </c>
      <c r="G106" s="56">
        <f t="shared" si="8"/>
        <v>0</v>
      </c>
      <c r="H106" s="56">
        <f t="shared" si="9"/>
        <v>0</v>
      </c>
      <c r="I106" s="56">
        <f t="shared" si="10"/>
        <v>0</v>
      </c>
      <c r="J106" s="57">
        <f t="shared" si="11"/>
        <v>0</v>
      </c>
    </row>
    <row r="107" spans="1:10" x14ac:dyDescent="0.25">
      <c r="A107" s="48"/>
      <c r="B107" s="44"/>
      <c r="C107" s="44"/>
      <c r="D107" s="44"/>
      <c r="E107" s="45">
        <v>0</v>
      </c>
      <c r="F107" s="42">
        <v>18</v>
      </c>
      <c r="G107" s="56">
        <f t="shared" si="8"/>
        <v>0</v>
      </c>
      <c r="H107" s="56">
        <f t="shared" si="9"/>
        <v>0</v>
      </c>
      <c r="I107" s="56">
        <f t="shared" si="10"/>
        <v>0</v>
      </c>
      <c r="J107" s="57">
        <f t="shared" si="11"/>
        <v>0</v>
      </c>
    </row>
    <row r="108" spans="1:10" x14ac:dyDescent="0.25">
      <c r="A108" s="48"/>
      <c r="B108" s="44"/>
      <c r="C108" s="44"/>
      <c r="D108" s="44"/>
      <c r="E108" s="45">
        <v>0</v>
      </c>
      <c r="F108" s="42">
        <v>18</v>
      </c>
      <c r="G108" s="56">
        <f t="shared" si="8"/>
        <v>0</v>
      </c>
      <c r="H108" s="56">
        <f t="shared" si="9"/>
        <v>0</v>
      </c>
      <c r="I108" s="56">
        <f t="shared" si="10"/>
        <v>0</v>
      </c>
      <c r="J108" s="57">
        <f t="shared" si="11"/>
        <v>0</v>
      </c>
    </row>
    <row r="109" spans="1:10" x14ac:dyDescent="0.25">
      <c r="A109" s="48"/>
      <c r="B109" s="44"/>
      <c r="C109" s="44"/>
      <c r="D109" s="44"/>
      <c r="E109" s="45">
        <v>0</v>
      </c>
      <c r="F109" s="42">
        <v>18</v>
      </c>
      <c r="G109" s="56">
        <f t="shared" si="8"/>
        <v>0</v>
      </c>
      <c r="H109" s="56">
        <f t="shared" si="9"/>
        <v>0</v>
      </c>
      <c r="I109" s="56">
        <f t="shared" si="10"/>
        <v>0</v>
      </c>
      <c r="J109" s="57">
        <f t="shared" si="11"/>
        <v>0</v>
      </c>
    </row>
    <row r="110" spans="1:10" x14ac:dyDescent="0.25">
      <c r="A110" s="48"/>
      <c r="B110" s="44"/>
      <c r="C110" s="44"/>
      <c r="D110" s="44"/>
      <c r="E110" s="45">
        <v>0</v>
      </c>
      <c r="F110" s="42">
        <v>18</v>
      </c>
      <c r="G110" s="56">
        <f t="shared" si="8"/>
        <v>0</v>
      </c>
      <c r="H110" s="56">
        <f t="shared" si="9"/>
        <v>0</v>
      </c>
      <c r="I110" s="56">
        <f t="shared" si="10"/>
        <v>0</v>
      </c>
      <c r="J110" s="57">
        <f t="shared" si="11"/>
        <v>0</v>
      </c>
    </row>
    <row r="111" spans="1:10" x14ac:dyDescent="0.25">
      <c r="A111" s="48"/>
      <c r="B111" s="44"/>
      <c r="C111" s="44"/>
      <c r="D111" s="44"/>
      <c r="E111" s="45">
        <v>0</v>
      </c>
      <c r="F111" s="42">
        <v>18</v>
      </c>
      <c r="G111" s="56">
        <f t="shared" si="8"/>
        <v>0</v>
      </c>
      <c r="H111" s="56">
        <f t="shared" si="9"/>
        <v>0</v>
      </c>
      <c r="I111" s="56">
        <f t="shared" si="10"/>
        <v>0</v>
      </c>
      <c r="J111" s="57">
        <f t="shared" si="11"/>
        <v>0</v>
      </c>
    </row>
    <row r="112" spans="1:10" x14ac:dyDescent="0.25">
      <c r="A112" s="48"/>
      <c r="B112" s="44"/>
      <c r="C112" s="44"/>
      <c r="D112" s="44"/>
      <c r="E112" s="45">
        <v>0</v>
      </c>
      <c r="F112" s="42">
        <v>18</v>
      </c>
      <c r="G112" s="56">
        <f t="shared" si="8"/>
        <v>0</v>
      </c>
      <c r="H112" s="56">
        <f t="shared" si="9"/>
        <v>0</v>
      </c>
      <c r="I112" s="56">
        <f t="shared" si="10"/>
        <v>0</v>
      </c>
      <c r="J112" s="57">
        <f t="shared" si="11"/>
        <v>0</v>
      </c>
    </row>
    <row r="113" spans="1:10" x14ac:dyDescent="0.25">
      <c r="A113" s="48"/>
      <c r="B113" s="44"/>
      <c r="C113" s="44"/>
      <c r="D113" s="44"/>
      <c r="E113" s="45">
        <v>0</v>
      </c>
      <c r="F113" s="42">
        <v>18</v>
      </c>
      <c r="G113" s="56">
        <f t="shared" si="8"/>
        <v>0</v>
      </c>
      <c r="H113" s="56">
        <f t="shared" si="9"/>
        <v>0</v>
      </c>
      <c r="I113" s="56">
        <f t="shared" si="10"/>
        <v>0</v>
      </c>
      <c r="J113" s="57">
        <f t="shared" si="11"/>
        <v>0</v>
      </c>
    </row>
    <row r="114" spans="1:10" x14ac:dyDescent="0.25">
      <c r="A114" s="48"/>
      <c r="B114" s="44"/>
      <c r="C114" s="44"/>
      <c r="D114" s="44"/>
      <c r="E114" s="45">
        <v>0</v>
      </c>
      <c r="F114" s="42">
        <v>18</v>
      </c>
      <c r="G114" s="56">
        <f t="shared" si="8"/>
        <v>0</v>
      </c>
      <c r="H114" s="56">
        <f t="shared" si="9"/>
        <v>0</v>
      </c>
      <c r="I114" s="56">
        <f t="shared" si="10"/>
        <v>0</v>
      </c>
      <c r="J114" s="57">
        <f t="shared" si="11"/>
        <v>0</v>
      </c>
    </row>
    <row r="115" spans="1:10" x14ac:dyDescent="0.25">
      <c r="A115" s="48"/>
      <c r="B115" s="44"/>
      <c r="C115" s="44"/>
      <c r="D115" s="44"/>
      <c r="E115" s="45">
        <v>0</v>
      </c>
      <c r="F115" s="42">
        <v>18</v>
      </c>
      <c r="G115" s="56">
        <f t="shared" si="8"/>
        <v>0</v>
      </c>
      <c r="H115" s="56">
        <f t="shared" si="9"/>
        <v>0</v>
      </c>
      <c r="I115" s="56">
        <f t="shared" si="10"/>
        <v>0</v>
      </c>
      <c r="J115" s="57">
        <f t="shared" si="11"/>
        <v>0</v>
      </c>
    </row>
    <row r="116" spans="1:10" x14ac:dyDescent="0.25">
      <c r="A116" s="48"/>
      <c r="B116" s="44"/>
      <c r="C116" s="44"/>
      <c r="D116" s="44"/>
      <c r="E116" s="45">
        <v>0</v>
      </c>
      <c r="F116" s="42">
        <v>18</v>
      </c>
      <c r="G116" s="56">
        <f t="shared" si="8"/>
        <v>0</v>
      </c>
      <c r="H116" s="56">
        <f t="shared" si="9"/>
        <v>0</v>
      </c>
      <c r="I116" s="56">
        <f t="shared" si="10"/>
        <v>0</v>
      </c>
      <c r="J116" s="57">
        <f t="shared" si="11"/>
        <v>0</v>
      </c>
    </row>
    <row r="117" spans="1:10" x14ac:dyDescent="0.25">
      <c r="A117" s="48"/>
      <c r="B117" s="44"/>
      <c r="C117" s="44"/>
      <c r="D117" s="44"/>
      <c r="E117" s="45">
        <v>0</v>
      </c>
      <c r="F117" s="42">
        <v>18</v>
      </c>
      <c r="G117" s="56">
        <f t="shared" si="8"/>
        <v>0</v>
      </c>
      <c r="H117" s="56">
        <f t="shared" si="9"/>
        <v>0</v>
      </c>
      <c r="I117" s="56">
        <f t="shared" si="10"/>
        <v>0</v>
      </c>
      <c r="J117" s="57">
        <f t="shared" si="11"/>
        <v>0</v>
      </c>
    </row>
    <row r="118" spans="1:10" x14ac:dyDescent="0.25">
      <c r="A118" s="48"/>
      <c r="B118" s="44"/>
      <c r="C118" s="44"/>
      <c r="D118" s="44"/>
      <c r="E118" s="45">
        <v>0</v>
      </c>
      <c r="F118" s="42">
        <v>18</v>
      </c>
      <c r="G118" s="56">
        <f t="shared" si="8"/>
        <v>0</v>
      </c>
      <c r="H118" s="56">
        <f t="shared" si="9"/>
        <v>0</v>
      </c>
      <c r="I118" s="56">
        <f t="shared" si="10"/>
        <v>0</v>
      </c>
      <c r="J118" s="57">
        <f t="shared" si="11"/>
        <v>0</v>
      </c>
    </row>
    <row r="119" spans="1:10" x14ac:dyDescent="0.25">
      <c r="A119" s="48"/>
      <c r="B119" s="44"/>
      <c r="C119" s="44"/>
      <c r="D119" s="44"/>
      <c r="E119" s="45">
        <v>0</v>
      </c>
      <c r="F119" s="42">
        <v>18</v>
      </c>
      <c r="G119" s="56">
        <f t="shared" si="8"/>
        <v>0</v>
      </c>
      <c r="H119" s="56">
        <f t="shared" si="9"/>
        <v>0</v>
      </c>
      <c r="I119" s="56">
        <f t="shared" si="10"/>
        <v>0</v>
      </c>
      <c r="J119" s="57">
        <f t="shared" si="11"/>
        <v>0</v>
      </c>
    </row>
    <row r="120" spans="1:10" x14ac:dyDescent="0.25">
      <c r="A120" s="48"/>
      <c r="B120" s="44"/>
      <c r="C120" s="44"/>
      <c r="D120" s="44"/>
      <c r="E120" s="45">
        <v>0</v>
      </c>
      <c r="F120" s="42">
        <v>18</v>
      </c>
      <c r="G120" s="56">
        <f t="shared" si="8"/>
        <v>0</v>
      </c>
      <c r="H120" s="56">
        <f t="shared" si="9"/>
        <v>0</v>
      </c>
      <c r="I120" s="56">
        <f t="shared" si="10"/>
        <v>0</v>
      </c>
      <c r="J120" s="57">
        <f t="shared" si="11"/>
        <v>0</v>
      </c>
    </row>
    <row r="121" spans="1:10" x14ac:dyDescent="0.25">
      <c r="A121" s="48"/>
      <c r="B121" s="44"/>
      <c r="C121" s="44"/>
      <c r="D121" s="44"/>
      <c r="E121" s="45">
        <v>0</v>
      </c>
      <c r="F121" s="42">
        <v>18</v>
      </c>
      <c r="G121" s="56">
        <f t="shared" si="8"/>
        <v>0</v>
      </c>
      <c r="H121" s="56">
        <f t="shared" si="9"/>
        <v>0</v>
      </c>
      <c r="I121" s="56">
        <f t="shared" si="10"/>
        <v>0</v>
      </c>
      <c r="J121" s="57">
        <f t="shared" si="11"/>
        <v>0</v>
      </c>
    </row>
    <row r="122" spans="1:10" x14ac:dyDescent="0.25">
      <c r="A122" s="48"/>
      <c r="B122" s="44"/>
      <c r="C122" s="44"/>
      <c r="D122" s="44"/>
      <c r="E122" s="45">
        <v>0</v>
      </c>
      <c r="F122" s="42">
        <v>18</v>
      </c>
      <c r="G122" s="56">
        <f t="shared" si="8"/>
        <v>0</v>
      </c>
      <c r="H122" s="56">
        <f t="shared" si="9"/>
        <v>0</v>
      </c>
      <c r="I122" s="56">
        <f t="shared" si="10"/>
        <v>0</v>
      </c>
      <c r="J122" s="57">
        <f t="shared" si="11"/>
        <v>0</v>
      </c>
    </row>
    <row r="123" spans="1:10" x14ac:dyDescent="0.25">
      <c r="A123" s="48"/>
      <c r="B123" s="44"/>
      <c r="C123" s="44"/>
      <c r="D123" s="44"/>
      <c r="E123" s="45">
        <v>0</v>
      </c>
      <c r="F123" s="42">
        <v>18</v>
      </c>
      <c r="G123" s="56">
        <f t="shared" si="8"/>
        <v>0</v>
      </c>
      <c r="H123" s="56">
        <f t="shared" si="9"/>
        <v>0</v>
      </c>
      <c r="I123" s="56">
        <f t="shared" si="10"/>
        <v>0</v>
      </c>
      <c r="J123" s="57">
        <f t="shared" si="11"/>
        <v>0</v>
      </c>
    </row>
    <row r="124" spans="1:10" x14ac:dyDescent="0.25">
      <c r="A124" s="48"/>
      <c r="B124" s="44"/>
      <c r="C124" s="44"/>
      <c r="D124" s="44"/>
      <c r="E124" s="45">
        <v>0</v>
      </c>
      <c r="F124" s="42">
        <v>18</v>
      </c>
      <c r="G124" s="56">
        <f t="shared" si="8"/>
        <v>0</v>
      </c>
      <c r="H124" s="56">
        <f t="shared" si="9"/>
        <v>0</v>
      </c>
      <c r="I124" s="56">
        <f t="shared" si="10"/>
        <v>0</v>
      </c>
      <c r="J124" s="57">
        <f t="shared" si="11"/>
        <v>0</v>
      </c>
    </row>
    <row r="125" spans="1:10" x14ac:dyDescent="0.25">
      <c r="A125" s="48"/>
      <c r="B125" s="44"/>
      <c r="C125" s="44"/>
      <c r="D125" s="44"/>
      <c r="E125" s="45">
        <v>0</v>
      </c>
      <c r="F125" s="42">
        <v>18</v>
      </c>
      <c r="G125" s="56">
        <f t="shared" si="8"/>
        <v>0</v>
      </c>
      <c r="H125" s="56">
        <f t="shared" si="9"/>
        <v>0</v>
      </c>
      <c r="I125" s="56">
        <f t="shared" si="10"/>
        <v>0</v>
      </c>
      <c r="J125" s="57">
        <f t="shared" si="11"/>
        <v>0</v>
      </c>
    </row>
    <row r="126" spans="1:10" x14ac:dyDescent="0.25">
      <c r="A126" s="48"/>
      <c r="B126" s="44"/>
      <c r="C126" s="44"/>
      <c r="D126" s="44"/>
      <c r="E126" s="45">
        <v>0</v>
      </c>
      <c r="F126" s="42">
        <v>18</v>
      </c>
      <c r="G126" s="56">
        <f t="shared" si="8"/>
        <v>0</v>
      </c>
      <c r="H126" s="56">
        <f t="shared" si="9"/>
        <v>0</v>
      </c>
      <c r="I126" s="56">
        <f t="shared" si="10"/>
        <v>0</v>
      </c>
      <c r="J126" s="57">
        <f t="shared" si="11"/>
        <v>0</v>
      </c>
    </row>
    <row r="127" spans="1:10" x14ac:dyDescent="0.25">
      <c r="A127" s="48"/>
      <c r="B127" s="44"/>
      <c r="C127" s="44"/>
      <c r="D127" s="44"/>
      <c r="E127" s="45">
        <v>0</v>
      </c>
      <c r="F127" s="42">
        <v>18</v>
      </c>
      <c r="G127" s="56">
        <f t="shared" si="8"/>
        <v>0</v>
      </c>
      <c r="H127" s="56">
        <f t="shared" si="9"/>
        <v>0</v>
      </c>
      <c r="I127" s="56">
        <f t="shared" si="10"/>
        <v>0</v>
      </c>
      <c r="J127" s="57">
        <f t="shared" si="11"/>
        <v>0</v>
      </c>
    </row>
    <row r="128" spans="1:10" x14ac:dyDescent="0.25">
      <c r="A128" s="48"/>
      <c r="B128" s="44"/>
      <c r="C128" s="44"/>
      <c r="D128" s="44"/>
      <c r="E128" s="45">
        <v>0</v>
      </c>
      <c r="F128" s="42">
        <v>18</v>
      </c>
      <c r="G128" s="56">
        <f t="shared" si="8"/>
        <v>0</v>
      </c>
      <c r="H128" s="56">
        <f t="shared" si="9"/>
        <v>0</v>
      </c>
      <c r="I128" s="56">
        <f t="shared" si="10"/>
        <v>0</v>
      </c>
      <c r="J128" s="57">
        <f t="shared" si="11"/>
        <v>0</v>
      </c>
    </row>
    <row r="129" spans="1:10" x14ac:dyDescent="0.25">
      <c r="A129" s="48"/>
      <c r="B129" s="44"/>
      <c r="C129" s="44"/>
      <c r="D129" s="44"/>
      <c r="E129" s="45">
        <v>0</v>
      </c>
      <c r="F129" s="42">
        <v>18</v>
      </c>
      <c r="G129" s="56">
        <f t="shared" si="8"/>
        <v>0</v>
      </c>
      <c r="H129" s="56">
        <f t="shared" si="9"/>
        <v>0</v>
      </c>
      <c r="I129" s="56">
        <f t="shared" si="10"/>
        <v>0</v>
      </c>
      <c r="J129" s="57">
        <f t="shared" si="11"/>
        <v>0</v>
      </c>
    </row>
    <row r="130" spans="1:10" x14ac:dyDescent="0.25">
      <c r="A130" s="48"/>
      <c r="B130" s="44"/>
      <c r="C130" s="44"/>
      <c r="D130" s="44"/>
      <c r="E130" s="45">
        <v>0</v>
      </c>
      <c r="F130" s="42">
        <v>18</v>
      </c>
      <c r="G130" s="56">
        <f t="shared" si="8"/>
        <v>0</v>
      </c>
      <c r="H130" s="56">
        <f t="shared" si="9"/>
        <v>0</v>
      </c>
      <c r="I130" s="56">
        <f t="shared" si="10"/>
        <v>0</v>
      </c>
      <c r="J130" s="57">
        <f t="shared" si="11"/>
        <v>0</v>
      </c>
    </row>
    <row r="131" spans="1:10" x14ac:dyDescent="0.25">
      <c r="A131" s="48"/>
      <c r="B131" s="44"/>
      <c r="C131" s="44"/>
      <c r="D131" s="44"/>
      <c r="E131" s="45">
        <v>0</v>
      </c>
      <c r="F131" s="42">
        <v>18</v>
      </c>
      <c r="G131" s="56">
        <f t="shared" ref="G131:G159" si="12">ROUND((E131*F131%)/2,)</f>
        <v>0</v>
      </c>
      <c r="H131" s="56">
        <f t="shared" ref="H131:H159" si="13">G131</f>
        <v>0</v>
      </c>
      <c r="I131" s="56">
        <f t="shared" ref="I131:I159" si="14">G131+H131</f>
        <v>0</v>
      </c>
      <c r="J131" s="57">
        <f t="shared" ref="J131:J159" si="15">E131+I131</f>
        <v>0</v>
      </c>
    </row>
    <row r="132" spans="1:10" x14ac:dyDescent="0.25">
      <c r="A132" s="48"/>
      <c r="B132" s="44"/>
      <c r="C132" s="44"/>
      <c r="D132" s="44"/>
      <c r="E132" s="45">
        <v>0</v>
      </c>
      <c r="F132" s="42">
        <v>18</v>
      </c>
      <c r="G132" s="56">
        <f t="shared" si="12"/>
        <v>0</v>
      </c>
      <c r="H132" s="56">
        <f t="shared" si="13"/>
        <v>0</v>
      </c>
      <c r="I132" s="56">
        <f t="shared" si="14"/>
        <v>0</v>
      </c>
      <c r="J132" s="57">
        <f t="shared" si="15"/>
        <v>0</v>
      </c>
    </row>
    <row r="133" spans="1:10" x14ac:dyDescent="0.25">
      <c r="A133" s="48"/>
      <c r="B133" s="44"/>
      <c r="C133" s="44"/>
      <c r="D133" s="44"/>
      <c r="E133" s="45">
        <v>0</v>
      </c>
      <c r="F133" s="42">
        <v>18</v>
      </c>
      <c r="G133" s="56">
        <f t="shared" si="12"/>
        <v>0</v>
      </c>
      <c r="H133" s="56">
        <f t="shared" si="13"/>
        <v>0</v>
      </c>
      <c r="I133" s="56">
        <f t="shared" si="14"/>
        <v>0</v>
      </c>
      <c r="J133" s="57">
        <f t="shared" si="15"/>
        <v>0</v>
      </c>
    </row>
    <row r="134" spans="1:10" x14ac:dyDescent="0.25">
      <c r="A134" s="48"/>
      <c r="B134" s="44"/>
      <c r="C134" s="44"/>
      <c r="D134" s="44"/>
      <c r="E134" s="45">
        <v>0</v>
      </c>
      <c r="F134" s="42">
        <v>18</v>
      </c>
      <c r="G134" s="56">
        <f t="shared" si="12"/>
        <v>0</v>
      </c>
      <c r="H134" s="56">
        <f t="shared" si="13"/>
        <v>0</v>
      </c>
      <c r="I134" s="56">
        <f t="shared" si="14"/>
        <v>0</v>
      </c>
      <c r="J134" s="57">
        <f t="shared" si="15"/>
        <v>0</v>
      </c>
    </row>
    <row r="135" spans="1:10" x14ac:dyDescent="0.25">
      <c r="A135" s="48"/>
      <c r="B135" s="44"/>
      <c r="C135" s="44"/>
      <c r="D135" s="44"/>
      <c r="E135" s="45">
        <v>0</v>
      </c>
      <c r="F135" s="42">
        <v>18</v>
      </c>
      <c r="G135" s="56">
        <f t="shared" si="12"/>
        <v>0</v>
      </c>
      <c r="H135" s="56">
        <f t="shared" si="13"/>
        <v>0</v>
      </c>
      <c r="I135" s="56">
        <f t="shared" si="14"/>
        <v>0</v>
      </c>
      <c r="J135" s="57">
        <f t="shared" si="15"/>
        <v>0</v>
      </c>
    </row>
    <row r="136" spans="1:10" x14ac:dyDescent="0.25">
      <c r="A136" s="48"/>
      <c r="B136" s="44"/>
      <c r="C136" s="44"/>
      <c r="D136" s="44"/>
      <c r="E136" s="45">
        <v>0</v>
      </c>
      <c r="F136" s="42">
        <v>18</v>
      </c>
      <c r="G136" s="56">
        <f t="shared" si="12"/>
        <v>0</v>
      </c>
      <c r="H136" s="56">
        <f t="shared" si="13"/>
        <v>0</v>
      </c>
      <c r="I136" s="56">
        <f t="shared" si="14"/>
        <v>0</v>
      </c>
      <c r="J136" s="57">
        <f t="shared" si="15"/>
        <v>0</v>
      </c>
    </row>
    <row r="137" spans="1:10" x14ac:dyDescent="0.25">
      <c r="A137" s="48"/>
      <c r="B137" s="44"/>
      <c r="C137" s="44"/>
      <c r="D137" s="44"/>
      <c r="E137" s="45">
        <v>0</v>
      </c>
      <c r="F137" s="42">
        <v>18</v>
      </c>
      <c r="G137" s="56">
        <f t="shared" si="12"/>
        <v>0</v>
      </c>
      <c r="H137" s="56">
        <f t="shared" si="13"/>
        <v>0</v>
      </c>
      <c r="I137" s="56">
        <f t="shared" si="14"/>
        <v>0</v>
      </c>
      <c r="J137" s="57">
        <f t="shared" si="15"/>
        <v>0</v>
      </c>
    </row>
    <row r="138" spans="1:10" x14ac:dyDescent="0.25">
      <c r="A138" s="48"/>
      <c r="B138" s="44"/>
      <c r="C138" s="44"/>
      <c r="D138" s="44"/>
      <c r="E138" s="45">
        <v>0</v>
      </c>
      <c r="F138" s="42">
        <v>18</v>
      </c>
      <c r="G138" s="56">
        <f t="shared" si="12"/>
        <v>0</v>
      </c>
      <c r="H138" s="56">
        <f t="shared" si="13"/>
        <v>0</v>
      </c>
      <c r="I138" s="56">
        <f t="shared" si="14"/>
        <v>0</v>
      </c>
      <c r="J138" s="57">
        <f t="shared" si="15"/>
        <v>0</v>
      </c>
    </row>
    <row r="139" spans="1:10" x14ac:dyDescent="0.25">
      <c r="A139" s="48"/>
      <c r="B139" s="44"/>
      <c r="C139" s="44"/>
      <c r="D139" s="44"/>
      <c r="E139" s="45">
        <v>0</v>
      </c>
      <c r="F139" s="42">
        <v>18</v>
      </c>
      <c r="G139" s="56">
        <f t="shared" si="12"/>
        <v>0</v>
      </c>
      <c r="H139" s="56">
        <f t="shared" si="13"/>
        <v>0</v>
      </c>
      <c r="I139" s="56">
        <f t="shared" si="14"/>
        <v>0</v>
      </c>
      <c r="J139" s="57">
        <f t="shared" si="15"/>
        <v>0</v>
      </c>
    </row>
    <row r="140" spans="1:10" x14ac:dyDescent="0.25">
      <c r="A140" s="48"/>
      <c r="B140" s="44"/>
      <c r="C140" s="44"/>
      <c r="D140" s="44"/>
      <c r="E140" s="45">
        <v>0</v>
      </c>
      <c r="F140" s="42">
        <v>18</v>
      </c>
      <c r="G140" s="56">
        <f t="shared" si="12"/>
        <v>0</v>
      </c>
      <c r="H140" s="56">
        <f t="shared" si="13"/>
        <v>0</v>
      </c>
      <c r="I140" s="56">
        <f t="shared" si="14"/>
        <v>0</v>
      </c>
      <c r="J140" s="57">
        <f t="shared" si="15"/>
        <v>0</v>
      </c>
    </row>
    <row r="141" spans="1:10" x14ac:dyDescent="0.25">
      <c r="A141" s="48"/>
      <c r="B141" s="44"/>
      <c r="C141" s="44"/>
      <c r="D141" s="44"/>
      <c r="E141" s="45">
        <v>0</v>
      </c>
      <c r="F141" s="42">
        <v>18</v>
      </c>
      <c r="G141" s="56">
        <f t="shared" si="12"/>
        <v>0</v>
      </c>
      <c r="H141" s="56">
        <f t="shared" si="13"/>
        <v>0</v>
      </c>
      <c r="I141" s="56">
        <f t="shared" si="14"/>
        <v>0</v>
      </c>
      <c r="J141" s="57">
        <f t="shared" si="15"/>
        <v>0</v>
      </c>
    </row>
    <row r="142" spans="1:10" x14ac:dyDescent="0.25">
      <c r="A142" s="48"/>
      <c r="B142" s="44"/>
      <c r="C142" s="44"/>
      <c r="D142" s="44"/>
      <c r="E142" s="45">
        <v>0</v>
      </c>
      <c r="F142" s="42">
        <v>18</v>
      </c>
      <c r="G142" s="56">
        <f t="shared" si="12"/>
        <v>0</v>
      </c>
      <c r="H142" s="56">
        <f t="shared" si="13"/>
        <v>0</v>
      </c>
      <c r="I142" s="56">
        <f t="shared" si="14"/>
        <v>0</v>
      </c>
      <c r="J142" s="57">
        <f t="shared" si="15"/>
        <v>0</v>
      </c>
    </row>
    <row r="143" spans="1:10" x14ac:dyDescent="0.25">
      <c r="A143" s="48"/>
      <c r="B143" s="44"/>
      <c r="C143" s="44"/>
      <c r="D143" s="44"/>
      <c r="E143" s="45">
        <v>0</v>
      </c>
      <c r="F143" s="42">
        <v>18</v>
      </c>
      <c r="G143" s="56">
        <f t="shared" si="12"/>
        <v>0</v>
      </c>
      <c r="H143" s="56">
        <f t="shared" si="13"/>
        <v>0</v>
      </c>
      <c r="I143" s="56">
        <f t="shared" si="14"/>
        <v>0</v>
      </c>
      <c r="J143" s="57">
        <f t="shared" si="15"/>
        <v>0</v>
      </c>
    </row>
    <row r="144" spans="1:10" x14ac:dyDescent="0.25">
      <c r="A144" s="48"/>
      <c r="B144" s="44"/>
      <c r="C144" s="44"/>
      <c r="D144" s="44"/>
      <c r="E144" s="45">
        <v>0</v>
      </c>
      <c r="F144" s="42">
        <v>18</v>
      </c>
      <c r="G144" s="56">
        <f t="shared" si="12"/>
        <v>0</v>
      </c>
      <c r="H144" s="56">
        <f t="shared" si="13"/>
        <v>0</v>
      </c>
      <c r="I144" s="56">
        <f t="shared" si="14"/>
        <v>0</v>
      </c>
      <c r="J144" s="57">
        <f t="shared" si="15"/>
        <v>0</v>
      </c>
    </row>
    <row r="145" spans="1:10" x14ac:dyDescent="0.25">
      <c r="A145" s="48"/>
      <c r="B145" s="44"/>
      <c r="C145" s="44"/>
      <c r="D145" s="44"/>
      <c r="E145" s="45">
        <v>0</v>
      </c>
      <c r="F145" s="42">
        <v>18</v>
      </c>
      <c r="G145" s="56">
        <f t="shared" si="12"/>
        <v>0</v>
      </c>
      <c r="H145" s="56">
        <f t="shared" si="13"/>
        <v>0</v>
      </c>
      <c r="I145" s="56">
        <f t="shared" si="14"/>
        <v>0</v>
      </c>
      <c r="J145" s="57">
        <f t="shared" si="15"/>
        <v>0</v>
      </c>
    </row>
    <row r="146" spans="1:10" x14ac:dyDescent="0.25">
      <c r="A146" s="48"/>
      <c r="B146" s="44"/>
      <c r="C146" s="44"/>
      <c r="D146" s="44"/>
      <c r="E146" s="45">
        <v>0</v>
      </c>
      <c r="F146" s="42">
        <v>18</v>
      </c>
      <c r="G146" s="56">
        <f t="shared" si="12"/>
        <v>0</v>
      </c>
      <c r="H146" s="56">
        <f t="shared" si="13"/>
        <v>0</v>
      </c>
      <c r="I146" s="56">
        <f t="shared" si="14"/>
        <v>0</v>
      </c>
      <c r="J146" s="57">
        <f t="shared" si="15"/>
        <v>0</v>
      </c>
    </row>
    <row r="147" spans="1:10" x14ac:dyDescent="0.25">
      <c r="A147" s="48"/>
      <c r="B147" s="44"/>
      <c r="C147" s="44"/>
      <c r="D147" s="44"/>
      <c r="E147" s="45">
        <v>0</v>
      </c>
      <c r="F147" s="42">
        <v>18</v>
      </c>
      <c r="G147" s="56">
        <f t="shared" si="12"/>
        <v>0</v>
      </c>
      <c r="H147" s="56">
        <f t="shared" si="13"/>
        <v>0</v>
      </c>
      <c r="I147" s="56">
        <f t="shared" si="14"/>
        <v>0</v>
      </c>
      <c r="J147" s="57">
        <f t="shared" si="15"/>
        <v>0</v>
      </c>
    </row>
    <row r="148" spans="1:10" x14ac:dyDescent="0.25">
      <c r="A148" s="48"/>
      <c r="B148" s="44"/>
      <c r="C148" s="44"/>
      <c r="D148" s="44"/>
      <c r="E148" s="45">
        <v>0</v>
      </c>
      <c r="F148" s="42">
        <v>18</v>
      </c>
      <c r="G148" s="56">
        <f t="shared" si="12"/>
        <v>0</v>
      </c>
      <c r="H148" s="56">
        <f t="shared" si="13"/>
        <v>0</v>
      </c>
      <c r="I148" s="56">
        <f t="shared" si="14"/>
        <v>0</v>
      </c>
      <c r="J148" s="57">
        <f t="shared" si="15"/>
        <v>0</v>
      </c>
    </row>
    <row r="149" spans="1:10" x14ac:dyDescent="0.25">
      <c r="A149" s="48"/>
      <c r="B149" s="44"/>
      <c r="C149" s="44"/>
      <c r="D149" s="44"/>
      <c r="E149" s="45">
        <v>0</v>
      </c>
      <c r="F149" s="42">
        <v>18</v>
      </c>
      <c r="G149" s="56">
        <f t="shared" si="12"/>
        <v>0</v>
      </c>
      <c r="H149" s="56">
        <f t="shared" si="13"/>
        <v>0</v>
      </c>
      <c r="I149" s="56">
        <f t="shared" si="14"/>
        <v>0</v>
      </c>
      <c r="J149" s="57">
        <f t="shared" si="15"/>
        <v>0</v>
      </c>
    </row>
    <row r="150" spans="1:10" x14ac:dyDescent="0.25">
      <c r="A150" s="48"/>
      <c r="B150" s="44"/>
      <c r="C150" s="44"/>
      <c r="D150" s="44"/>
      <c r="E150" s="45">
        <v>0</v>
      </c>
      <c r="F150" s="42">
        <v>18</v>
      </c>
      <c r="G150" s="56">
        <f t="shared" si="12"/>
        <v>0</v>
      </c>
      <c r="H150" s="56">
        <f t="shared" si="13"/>
        <v>0</v>
      </c>
      <c r="I150" s="56">
        <f t="shared" si="14"/>
        <v>0</v>
      </c>
      <c r="J150" s="57">
        <f t="shared" si="15"/>
        <v>0</v>
      </c>
    </row>
    <row r="151" spans="1:10" x14ac:dyDescent="0.25">
      <c r="A151" s="48"/>
      <c r="B151" s="44"/>
      <c r="C151" s="44"/>
      <c r="D151" s="44"/>
      <c r="E151" s="45">
        <v>0</v>
      </c>
      <c r="F151" s="42">
        <v>18</v>
      </c>
      <c r="G151" s="56">
        <f t="shared" si="12"/>
        <v>0</v>
      </c>
      <c r="H151" s="56">
        <f t="shared" si="13"/>
        <v>0</v>
      </c>
      <c r="I151" s="56">
        <f t="shared" si="14"/>
        <v>0</v>
      </c>
      <c r="J151" s="57">
        <f t="shared" si="15"/>
        <v>0</v>
      </c>
    </row>
    <row r="152" spans="1:10" x14ac:dyDescent="0.25">
      <c r="A152" s="48"/>
      <c r="B152" s="44"/>
      <c r="C152" s="44"/>
      <c r="D152" s="44"/>
      <c r="E152" s="45">
        <v>0</v>
      </c>
      <c r="F152" s="42">
        <v>18</v>
      </c>
      <c r="G152" s="56">
        <f t="shared" si="12"/>
        <v>0</v>
      </c>
      <c r="H152" s="56">
        <f t="shared" si="13"/>
        <v>0</v>
      </c>
      <c r="I152" s="56">
        <f t="shared" si="14"/>
        <v>0</v>
      </c>
      <c r="J152" s="57">
        <f t="shared" si="15"/>
        <v>0</v>
      </c>
    </row>
    <row r="153" spans="1:10" x14ac:dyDescent="0.25">
      <c r="A153" s="48"/>
      <c r="B153" s="44"/>
      <c r="C153" s="44"/>
      <c r="D153" s="44"/>
      <c r="E153" s="45">
        <v>0</v>
      </c>
      <c r="F153" s="42">
        <v>18</v>
      </c>
      <c r="G153" s="56">
        <f t="shared" si="12"/>
        <v>0</v>
      </c>
      <c r="H153" s="56">
        <f t="shared" si="13"/>
        <v>0</v>
      </c>
      <c r="I153" s="56">
        <f t="shared" si="14"/>
        <v>0</v>
      </c>
      <c r="J153" s="57">
        <f t="shared" si="15"/>
        <v>0</v>
      </c>
    </row>
    <row r="154" spans="1:10" x14ac:dyDescent="0.25">
      <c r="A154" s="48"/>
      <c r="B154" s="44"/>
      <c r="C154" s="44"/>
      <c r="D154" s="44"/>
      <c r="E154" s="45">
        <v>0</v>
      </c>
      <c r="F154" s="42">
        <v>18</v>
      </c>
      <c r="G154" s="56">
        <f t="shared" si="12"/>
        <v>0</v>
      </c>
      <c r="H154" s="56">
        <f t="shared" si="13"/>
        <v>0</v>
      </c>
      <c r="I154" s="56">
        <f t="shared" si="14"/>
        <v>0</v>
      </c>
      <c r="J154" s="57">
        <f t="shared" si="15"/>
        <v>0</v>
      </c>
    </row>
    <row r="155" spans="1:10" x14ac:dyDescent="0.25">
      <c r="A155" s="48"/>
      <c r="B155" s="44"/>
      <c r="C155" s="44"/>
      <c r="D155" s="44"/>
      <c r="E155" s="45">
        <v>0</v>
      </c>
      <c r="F155" s="42">
        <v>18</v>
      </c>
      <c r="G155" s="56">
        <f t="shared" si="12"/>
        <v>0</v>
      </c>
      <c r="H155" s="56">
        <f t="shared" si="13"/>
        <v>0</v>
      </c>
      <c r="I155" s="56">
        <f t="shared" si="14"/>
        <v>0</v>
      </c>
      <c r="J155" s="57">
        <f t="shared" si="15"/>
        <v>0</v>
      </c>
    </row>
    <row r="156" spans="1:10" x14ac:dyDescent="0.25">
      <c r="A156" s="48"/>
      <c r="B156" s="44"/>
      <c r="C156" s="44"/>
      <c r="D156" s="44"/>
      <c r="E156" s="45">
        <v>0</v>
      </c>
      <c r="F156" s="42">
        <v>18</v>
      </c>
      <c r="G156" s="56">
        <f t="shared" si="12"/>
        <v>0</v>
      </c>
      <c r="H156" s="56">
        <f t="shared" si="13"/>
        <v>0</v>
      </c>
      <c r="I156" s="56">
        <f t="shared" si="14"/>
        <v>0</v>
      </c>
      <c r="J156" s="57">
        <f t="shared" si="15"/>
        <v>0</v>
      </c>
    </row>
    <row r="157" spans="1:10" x14ac:dyDescent="0.25">
      <c r="A157" s="48"/>
      <c r="B157" s="44"/>
      <c r="C157" s="44"/>
      <c r="D157" s="44"/>
      <c r="E157" s="45">
        <v>0</v>
      </c>
      <c r="F157" s="42">
        <v>18</v>
      </c>
      <c r="G157" s="56">
        <f t="shared" si="12"/>
        <v>0</v>
      </c>
      <c r="H157" s="56">
        <f t="shared" si="13"/>
        <v>0</v>
      </c>
      <c r="I157" s="56">
        <f t="shared" si="14"/>
        <v>0</v>
      </c>
      <c r="J157" s="57">
        <f t="shared" si="15"/>
        <v>0</v>
      </c>
    </row>
    <row r="158" spans="1:10" x14ac:dyDescent="0.25">
      <c r="A158" s="48"/>
      <c r="B158" s="44"/>
      <c r="C158" s="44"/>
      <c r="D158" s="44"/>
      <c r="E158" s="45">
        <v>0</v>
      </c>
      <c r="F158" s="42">
        <v>18</v>
      </c>
      <c r="G158" s="56">
        <f t="shared" si="12"/>
        <v>0</v>
      </c>
      <c r="H158" s="56">
        <f t="shared" si="13"/>
        <v>0</v>
      </c>
      <c r="I158" s="56">
        <f t="shared" si="14"/>
        <v>0</v>
      </c>
      <c r="J158" s="57">
        <f t="shared" si="15"/>
        <v>0</v>
      </c>
    </row>
    <row r="159" spans="1:10" x14ac:dyDescent="0.25">
      <c r="E159" s="45">
        <v>0</v>
      </c>
      <c r="F159" s="42">
        <v>18</v>
      </c>
      <c r="G159" s="56">
        <f t="shared" si="12"/>
        <v>0</v>
      </c>
      <c r="H159" s="56">
        <f t="shared" si="13"/>
        <v>0</v>
      </c>
      <c r="I159" s="56">
        <f t="shared" si="14"/>
        <v>0</v>
      </c>
      <c r="J159" s="57">
        <f t="shared" si="15"/>
        <v>0</v>
      </c>
    </row>
  </sheetData>
  <dataValidations count="4">
    <dataValidation type="custom" operator="lessThanOrEqual" allowBlank="1" showInputMessage="1" showErrorMessage="1" error="Please enter alphanumeric value of length less than or equal to 25.Do not enter any special character except . , - / and SPACE." sqref="D2:D158">
      <formula1>AD2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159">
      <formula1>AF2</formula1>
    </dataValidation>
    <dataValidation type="custom" allowBlank="1" showInputMessage="1" showErrorMessage="1" error="Please enter Numeric value having length less than or equal to 16 including decimal points. Do not enter Special characters." sqref="F2:F159">
      <formula1>AG2</formula1>
    </dataValidation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158">
      <formula1>500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"/>
  <sheetViews>
    <sheetView topLeftCell="A13" workbookViewId="0">
      <selection activeCell="E38" sqref="E38"/>
    </sheetView>
  </sheetViews>
  <sheetFormatPr defaultRowHeight="15" x14ac:dyDescent="0.25"/>
  <cols>
    <col min="1" max="1" width="17.5703125" customWidth="1"/>
    <col min="2" max="2" width="39.5703125" customWidth="1"/>
    <col min="3" max="3" width="7.28515625" customWidth="1"/>
    <col min="4" max="4" width="10.7109375" customWidth="1"/>
    <col min="5" max="5" width="11.7109375" customWidth="1"/>
    <col min="7" max="7" width="10.42578125" customWidth="1"/>
    <col min="8" max="8" width="10.5703125" customWidth="1"/>
    <col min="9" max="9" width="10.7109375" customWidth="1"/>
    <col min="10" max="10" width="11.570312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109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>
        <v>0</v>
      </c>
      <c r="F3" s="42">
        <v>18</v>
      </c>
      <c r="G3" s="56">
        <f t="shared" ref="G3" si="0">ROUND((E3*F3%)/2,)</f>
        <v>0</v>
      </c>
      <c r="H3" s="56">
        <f t="shared" ref="H3" si="1">G3</f>
        <v>0</v>
      </c>
      <c r="I3" s="56">
        <f t="shared" ref="I3" si="2">G3+H3</f>
        <v>0</v>
      </c>
      <c r="J3" s="57">
        <f t="shared" ref="J3" si="3">E3+I3</f>
        <v>0</v>
      </c>
    </row>
    <row r="4" spans="1:10" x14ac:dyDescent="0.25">
      <c r="A4" s="48" t="s">
        <v>182</v>
      </c>
      <c r="B4" s="44" t="s">
        <v>183</v>
      </c>
      <c r="C4" s="44" t="s">
        <v>579</v>
      </c>
      <c r="D4" s="44" t="s">
        <v>580</v>
      </c>
      <c r="E4" s="45">
        <v>2570</v>
      </c>
      <c r="F4" s="42">
        <v>18</v>
      </c>
      <c r="G4" s="56">
        <f t="shared" ref="G4:G65" si="4">ROUND((E4*F4%)/2,)</f>
        <v>231</v>
      </c>
      <c r="H4" s="56">
        <f t="shared" ref="H4:H65" si="5">G4</f>
        <v>231</v>
      </c>
      <c r="I4" s="56">
        <f t="shared" ref="I4:I65" si="6">G4+H4</f>
        <v>462</v>
      </c>
      <c r="J4" s="57">
        <f t="shared" ref="J4:J65" si="7">E4+I4</f>
        <v>3032</v>
      </c>
    </row>
    <row r="5" spans="1:10" x14ac:dyDescent="0.25">
      <c r="A5" s="59" t="s">
        <v>581</v>
      </c>
      <c r="B5" s="46" t="s">
        <v>582</v>
      </c>
      <c r="C5" s="44" t="s">
        <v>584</v>
      </c>
      <c r="D5" s="44" t="s">
        <v>583</v>
      </c>
      <c r="E5" s="45">
        <v>17376</v>
      </c>
      <c r="F5" s="42">
        <v>18</v>
      </c>
      <c r="G5" s="56">
        <f t="shared" si="4"/>
        <v>1564</v>
      </c>
      <c r="H5" s="56">
        <f t="shared" si="5"/>
        <v>1564</v>
      </c>
      <c r="I5" s="56">
        <f t="shared" si="6"/>
        <v>3128</v>
      </c>
      <c r="J5" s="57">
        <f t="shared" si="7"/>
        <v>20504</v>
      </c>
    </row>
    <row r="6" spans="1:10" x14ac:dyDescent="0.25">
      <c r="A6" s="48" t="s">
        <v>529</v>
      </c>
      <c r="B6" s="44" t="s">
        <v>530</v>
      </c>
      <c r="C6" s="44" t="s">
        <v>585</v>
      </c>
      <c r="D6" s="44" t="s">
        <v>586</v>
      </c>
      <c r="E6" s="45">
        <v>1398.31</v>
      </c>
      <c r="F6" s="42">
        <v>18</v>
      </c>
      <c r="G6" s="56">
        <f t="shared" si="4"/>
        <v>126</v>
      </c>
      <c r="H6" s="56">
        <f t="shared" si="5"/>
        <v>126</v>
      </c>
      <c r="I6" s="56">
        <f t="shared" si="6"/>
        <v>252</v>
      </c>
      <c r="J6" s="57">
        <f t="shared" si="7"/>
        <v>1650.31</v>
      </c>
    </row>
    <row r="7" spans="1:10" x14ac:dyDescent="0.25">
      <c r="A7" s="48" t="s">
        <v>514</v>
      </c>
      <c r="B7" s="44" t="s">
        <v>499</v>
      </c>
      <c r="C7" s="44" t="s">
        <v>587</v>
      </c>
      <c r="D7" s="44" t="s">
        <v>588</v>
      </c>
      <c r="E7" s="45">
        <v>12225</v>
      </c>
      <c r="F7" s="42">
        <v>18</v>
      </c>
      <c r="G7" s="56">
        <f t="shared" si="4"/>
        <v>1100</v>
      </c>
      <c r="H7" s="56">
        <f t="shared" si="5"/>
        <v>1100</v>
      </c>
      <c r="I7" s="56">
        <f t="shared" si="6"/>
        <v>2200</v>
      </c>
      <c r="J7" s="57">
        <f t="shared" si="7"/>
        <v>14425</v>
      </c>
    </row>
    <row r="8" spans="1:10" x14ac:dyDescent="0.25">
      <c r="A8" s="59"/>
      <c r="B8" s="46"/>
      <c r="C8" s="44"/>
      <c r="D8" s="44"/>
      <c r="E8" s="45">
        <v>0</v>
      </c>
      <c r="F8" s="42">
        <v>18</v>
      </c>
      <c r="G8" s="56">
        <f t="shared" si="4"/>
        <v>0</v>
      </c>
      <c r="H8" s="56">
        <f t="shared" si="5"/>
        <v>0</v>
      </c>
      <c r="I8" s="56">
        <f t="shared" si="6"/>
        <v>0</v>
      </c>
      <c r="J8" s="57">
        <f t="shared" si="7"/>
        <v>0</v>
      </c>
    </row>
    <row r="9" spans="1:10" x14ac:dyDescent="0.25">
      <c r="A9" s="59"/>
      <c r="B9" s="46"/>
      <c r="C9" s="44"/>
      <c r="D9" s="44"/>
      <c r="E9" s="45">
        <v>0</v>
      </c>
      <c r="F9" s="42">
        <v>18</v>
      </c>
      <c r="G9" s="56">
        <f t="shared" si="4"/>
        <v>0</v>
      </c>
      <c r="H9" s="56">
        <f t="shared" si="5"/>
        <v>0</v>
      </c>
      <c r="I9" s="56">
        <f t="shared" si="6"/>
        <v>0</v>
      </c>
      <c r="J9" s="57">
        <f t="shared" si="7"/>
        <v>0</v>
      </c>
    </row>
    <row r="10" spans="1:10" x14ac:dyDescent="0.25">
      <c r="A10" s="59"/>
      <c r="B10" s="58" t="s">
        <v>114</v>
      </c>
      <c r="C10" s="44"/>
      <c r="D10" s="44"/>
      <c r="E10" s="45">
        <v>0</v>
      </c>
      <c r="F10" s="42">
        <v>18</v>
      </c>
      <c r="G10" s="56">
        <f t="shared" si="4"/>
        <v>0</v>
      </c>
      <c r="H10" s="56">
        <f t="shared" si="5"/>
        <v>0</v>
      </c>
      <c r="I10" s="56">
        <f t="shared" si="6"/>
        <v>0</v>
      </c>
      <c r="J10" s="57">
        <f t="shared" si="7"/>
        <v>0</v>
      </c>
    </row>
    <row r="11" spans="1:10" x14ac:dyDescent="0.25">
      <c r="A11" s="59"/>
      <c r="B11" s="46"/>
      <c r="C11" s="44"/>
      <c r="D11" s="44"/>
      <c r="E11" s="45">
        <v>0</v>
      </c>
      <c r="F11" s="42">
        <v>18</v>
      </c>
      <c r="G11" s="56">
        <f t="shared" si="4"/>
        <v>0</v>
      </c>
      <c r="H11" s="56">
        <f t="shared" si="5"/>
        <v>0</v>
      </c>
      <c r="I11" s="56">
        <f t="shared" si="6"/>
        <v>0</v>
      </c>
      <c r="J11" s="57">
        <f t="shared" si="7"/>
        <v>0</v>
      </c>
    </row>
    <row r="12" spans="1:10" x14ac:dyDescent="0.25">
      <c r="A12" s="59" t="s">
        <v>631</v>
      </c>
      <c r="B12" s="46" t="s">
        <v>632</v>
      </c>
      <c r="C12" s="44" t="s">
        <v>589</v>
      </c>
      <c r="D12" s="44" t="s">
        <v>633</v>
      </c>
      <c r="E12" s="45">
        <v>26740</v>
      </c>
      <c r="F12" s="42">
        <v>18</v>
      </c>
      <c r="G12" s="56">
        <f t="shared" si="4"/>
        <v>2407</v>
      </c>
      <c r="H12" s="56">
        <f t="shared" si="5"/>
        <v>2407</v>
      </c>
      <c r="I12" s="56">
        <f t="shared" si="6"/>
        <v>4814</v>
      </c>
      <c r="J12" s="57">
        <f t="shared" si="7"/>
        <v>31554</v>
      </c>
    </row>
    <row r="13" spans="1:10" x14ac:dyDescent="0.25">
      <c r="A13" s="59" t="s">
        <v>135</v>
      </c>
      <c r="B13" s="46" t="s">
        <v>136</v>
      </c>
      <c r="C13" s="44" t="s">
        <v>590</v>
      </c>
      <c r="D13" s="44" t="s">
        <v>634</v>
      </c>
      <c r="E13" s="45">
        <v>3600</v>
      </c>
      <c r="F13" s="42">
        <v>18</v>
      </c>
      <c r="G13" s="56">
        <f t="shared" si="4"/>
        <v>324</v>
      </c>
      <c r="H13" s="56">
        <f t="shared" si="5"/>
        <v>324</v>
      </c>
      <c r="I13" s="56">
        <f t="shared" si="6"/>
        <v>648</v>
      </c>
      <c r="J13" s="57">
        <f t="shared" si="7"/>
        <v>4248</v>
      </c>
    </row>
    <row r="14" spans="1:10" x14ac:dyDescent="0.25">
      <c r="A14" s="59" t="s">
        <v>135</v>
      </c>
      <c r="B14" s="46" t="s">
        <v>136</v>
      </c>
      <c r="C14" s="44" t="s">
        <v>591</v>
      </c>
      <c r="D14" s="44" t="s">
        <v>634</v>
      </c>
      <c r="E14" s="45">
        <v>5400</v>
      </c>
      <c r="F14" s="42">
        <v>18</v>
      </c>
      <c r="G14" s="56">
        <f t="shared" si="4"/>
        <v>486</v>
      </c>
      <c r="H14" s="56">
        <f t="shared" si="5"/>
        <v>486</v>
      </c>
      <c r="I14" s="56">
        <f t="shared" si="6"/>
        <v>972</v>
      </c>
      <c r="J14" s="57">
        <f t="shared" si="7"/>
        <v>6372</v>
      </c>
    </row>
    <row r="15" spans="1:10" x14ac:dyDescent="0.25">
      <c r="A15" s="59" t="s">
        <v>135</v>
      </c>
      <c r="B15" s="46" t="s">
        <v>136</v>
      </c>
      <c r="C15" s="44" t="s">
        <v>592</v>
      </c>
      <c r="D15" s="44" t="s">
        <v>634</v>
      </c>
      <c r="E15" s="45">
        <v>3600</v>
      </c>
      <c r="F15" s="42">
        <v>18</v>
      </c>
      <c r="G15" s="56">
        <f t="shared" si="4"/>
        <v>324</v>
      </c>
      <c r="H15" s="56">
        <f t="shared" si="5"/>
        <v>324</v>
      </c>
      <c r="I15" s="56">
        <f t="shared" si="6"/>
        <v>648</v>
      </c>
      <c r="J15" s="57">
        <f t="shared" si="7"/>
        <v>4248</v>
      </c>
    </row>
    <row r="16" spans="1:10" x14ac:dyDescent="0.25">
      <c r="A16" s="59" t="s">
        <v>135</v>
      </c>
      <c r="B16" s="46" t="s">
        <v>136</v>
      </c>
      <c r="C16" s="44" t="s">
        <v>593</v>
      </c>
      <c r="D16" s="44" t="s">
        <v>586</v>
      </c>
      <c r="E16" s="45">
        <v>3900</v>
      </c>
      <c r="F16" s="42">
        <v>18</v>
      </c>
      <c r="G16" s="56">
        <f t="shared" si="4"/>
        <v>351</v>
      </c>
      <c r="H16" s="56">
        <f t="shared" si="5"/>
        <v>351</v>
      </c>
      <c r="I16" s="56">
        <f t="shared" si="6"/>
        <v>702</v>
      </c>
      <c r="J16" s="57">
        <f t="shared" si="7"/>
        <v>4602</v>
      </c>
    </row>
    <row r="17" spans="1:10" x14ac:dyDescent="0.25">
      <c r="A17" s="59" t="s">
        <v>127</v>
      </c>
      <c r="B17" s="46" t="s">
        <v>128</v>
      </c>
      <c r="C17" s="44" t="s">
        <v>594</v>
      </c>
      <c r="D17" s="44" t="s">
        <v>635</v>
      </c>
      <c r="E17" s="45">
        <v>4320</v>
      </c>
      <c r="F17" s="42">
        <v>18</v>
      </c>
      <c r="G17" s="56">
        <f t="shared" si="4"/>
        <v>389</v>
      </c>
      <c r="H17" s="56">
        <f t="shared" si="5"/>
        <v>389</v>
      </c>
      <c r="I17" s="56">
        <f t="shared" si="6"/>
        <v>778</v>
      </c>
      <c r="J17" s="57">
        <f t="shared" si="7"/>
        <v>5098</v>
      </c>
    </row>
    <row r="18" spans="1:10" x14ac:dyDescent="0.25">
      <c r="A18" s="59" t="s">
        <v>127</v>
      </c>
      <c r="B18" s="46" t="s">
        <v>128</v>
      </c>
      <c r="C18" s="44" t="s">
        <v>595</v>
      </c>
      <c r="D18" s="44" t="s">
        <v>636</v>
      </c>
      <c r="E18" s="45">
        <v>1920</v>
      </c>
      <c r="F18" s="42">
        <v>18</v>
      </c>
      <c r="G18" s="56">
        <f t="shared" si="4"/>
        <v>173</v>
      </c>
      <c r="H18" s="56">
        <f t="shared" si="5"/>
        <v>173</v>
      </c>
      <c r="I18" s="56">
        <f t="shared" si="6"/>
        <v>346</v>
      </c>
      <c r="J18" s="57">
        <f t="shared" si="7"/>
        <v>2266</v>
      </c>
    </row>
    <row r="19" spans="1:10" x14ac:dyDescent="0.25">
      <c r="A19" s="59" t="s">
        <v>306</v>
      </c>
      <c r="B19" s="46" t="s">
        <v>124</v>
      </c>
      <c r="C19" s="44" t="s">
        <v>596</v>
      </c>
      <c r="D19" s="44" t="s">
        <v>636</v>
      </c>
      <c r="E19" s="45">
        <v>952</v>
      </c>
      <c r="F19" s="42">
        <v>18</v>
      </c>
      <c r="G19" s="56">
        <f t="shared" si="4"/>
        <v>86</v>
      </c>
      <c r="H19" s="56">
        <f t="shared" si="5"/>
        <v>86</v>
      </c>
      <c r="I19" s="56">
        <f t="shared" si="6"/>
        <v>172</v>
      </c>
      <c r="J19" s="57">
        <f t="shared" si="7"/>
        <v>1124</v>
      </c>
    </row>
    <row r="20" spans="1:10" x14ac:dyDescent="0.25">
      <c r="A20" s="59" t="s">
        <v>135</v>
      </c>
      <c r="B20" s="46" t="s">
        <v>136</v>
      </c>
      <c r="C20" s="44" t="s">
        <v>597</v>
      </c>
      <c r="D20" s="44" t="s">
        <v>636</v>
      </c>
      <c r="E20" s="45">
        <v>936</v>
      </c>
      <c r="F20" s="42">
        <v>18</v>
      </c>
      <c r="G20" s="56">
        <f t="shared" si="4"/>
        <v>84</v>
      </c>
      <c r="H20" s="56">
        <f t="shared" si="5"/>
        <v>84</v>
      </c>
      <c r="I20" s="56">
        <f t="shared" si="6"/>
        <v>168</v>
      </c>
      <c r="J20" s="57">
        <f t="shared" si="7"/>
        <v>1104</v>
      </c>
    </row>
    <row r="21" spans="1:10" x14ac:dyDescent="0.25">
      <c r="A21" s="59" t="s">
        <v>135</v>
      </c>
      <c r="B21" s="46" t="s">
        <v>136</v>
      </c>
      <c r="C21" s="44" t="s">
        <v>598</v>
      </c>
      <c r="D21" s="44" t="s">
        <v>637</v>
      </c>
      <c r="E21" s="45">
        <v>3588</v>
      </c>
      <c r="F21" s="42">
        <v>18</v>
      </c>
      <c r="G21" s="56">
        <f t="shared" si="4"/>
        <v>323</v>
      </c>
      <c r="H21" s="56">
        <f t="shared" si="5"/>
        <v>323</v>
      </c>
      <c r="I21" s="56">
        <f t="shared" si="6"/>
        <v>646</v>
      </c>
      <c r="J21" s="57">
        <f t="shared" si="7"/>
        <v>4234</v>
      </c>
    </row>
    <row r="22" spans="1:10" x14ac:dyDescent="0.25">
      <c r="A22" s="48" t="s">
        <v>514</v>
      </c>
      <c r="B22" s="44" t="s">
        <v>499</v>
      </c>
      <c r="C22" s="44" t="s">
        <v>599</v>
      </c>
      <c r="D22" s="44" t="s">
        <v>637</v>
      </c>
      <c r="E22" s="45">
        <v>1805</v>
      </c>
      <c r="F22" s="42">
        <v>18</v>
      </c>
      <c r="G22" s="56">
        <f t="shared" si="4"/>
        <v>162</v>
      </c>
      <c r="H22" s="56">
        <f t="shared" si="5"/>
        <v>162</v>
      </c>
      <c r="I22" s="56">
        <f t="shared" si="6"/>
        <v>324</v>
      </c>
      <c r="J22" s="57">
        <f t="shared" si="7"/>
        <v>2129</v>
      </c>
    </row>
    <row r="23" spans="1:10" x14ac:dyDescent="0.25">
      <c r="A23" s="59" t="s">
        <v>127</v>
      </c>
      <c r="B23" s="46" t="s">
        <v>128</v>
      </c>
      <c r="C23" s="44" t="s">
        <v>600</v>
      </c>
      <c r="D23" s="44" t="s">
        <v>638</v>
      </c>
      <c r="E23" s="45">
        <v>4410</v>
      </c>
      <c r="F23" s="42">
        <v>18</v>
      </c>
      <c r="G23" s="56">
        <f t="shared" si="4"/>
        <v>397</v>
      </c>
      <c r="H23" s="56">
        <f t="shared" si="5"/>
        <v>397</v>
      </c>
      <c r="I23" s="56">
        <f t="shared" si="6"/>
        <v>794</v>
      </c>
      <c r="J23" s="57">
        <f t="shared" si="7"/>
        <v>5204</v>
      </c>
    </row>
    <row r="24" spans="1:10" x14ac:dyDescent="0.25">
      <c r="A24" s="59" t="s">
        <v>135</v>
      </c>
      <c r="B24" s="46" t="s">
        <v>136</v>
      </c>
      <c r="C24" s="44" t="s">
        <v>601</v>
      </c>
      <c r="D24" s="44" t="s">
        <v>639</v>
      </c>
      <c r="E24" s="45">
        <v>2160</v>
      </c>
      <c r="F24" s="42">
        <v>18</v>
      </c>
      <c r="G24" s="56">
        <f t="shared" si="4"/>
        <v>194</v>
      </c>
      <c r="H24" s="56">
        <f t="shared" si="5"/>
        <v>194</v>
      </c>
      <c r="I24" s="56">
        <f t="shared" si="6"/>
        <v>388</v>
      </c>
      <c r="J24" s="57">
        <f t="shared" si="7"/>
        <v>2548</v>
      </c>
    </row>
    <row r="25" spans="1:10" x14ac:dyDescent="0.25">
      <c r="A25" s="59" t="s">
        <v>135</v>
      </c>
      <c r="B25" s="46" t="s">
        <v>136</v>
      </c>
      <c r="C25" s="44" t="s">
        <v>602</v>
      </c>
      <c r="D25" s="44" t="s">
        <v>640</v>
      </c>
      <c r="E25" s="45">
        <v>2304</v>
      </c>
      <c r="F25" s="42">
        <v>18</v>
      </c>
      <c r="G25" s="56">
        <f t="shared" si="4"/>
        <v>207</v>
      </c>
      <c r="H25" s="56">
        <f t="shared" si="5"/>
        <v>207</v>
      </c>
      <c r="I25" s="56">
        <f t="shared" si="6"/>
        <v>414</v>
      </c>
      <c r="J25" s="57">
        <f t="shared" si="7"/>
        <v>2718</v>
      </c>
    </row>
    <row r="26" spans="1:10" x14ac:dyDescent="0.25">
      <c r="A26" s="59" t="s">
        <v>631</v>
      </c>
      <c r="B26" s="46" t="s">
        <v>632</v>
      </c>
      <c r="C26" s="44" t="s">
        <v>603</v>
      </c>
      <c r="D26" s="44" t="s">
        <v>641</v>
      </c>
      <c r="E26" s="45">
        <v>23800</v>
      </c>
      <c r="F26" s="42">
        <v>18</v>
      </c>
      <c r="G26" s="56">
        <f t="shared" si="4"/>
        <v>2142</v>
      </c>
      <c r="H26" s="56">
        <f t="shared" si="5"/>
        <v>2142</v>
      </c>
      <c r="I26" s="56">
        <f t="shared" si="6"/>
        <v>4284</v>
      </c>
      <c r="J26" s="57">
        <f t="shared" si="7"/>
        <v>28084</v>
      </c>
    </row>
    <row r="27" spans="1:10" x14ac:dyDescent="0.25">
      <c r="A27" s="59" t="s">
        <v>127</v>
      </c>
      <c r="B27" s="46" t="s">
        <v>128</v>
      </c>
      <c r="C27" s="44" t="s">
        <v>604</v>
      </c>
      <c r="D27" s="44" t="s">
        <v>641</v>
      </c>
      <c r="E27" s="45">
        <v>4275</v>
      </c>
      <c r="F27" s="42">
        <v>18</v>
      </c>
      <c r="G27" s="56">
        <f t="shared" si="4"/>
        <v>385</v>
      </c>
      <c r="H27" s="56">
        <f t="shared" si="5"/>
        <v>385</v>
      </c>
      <c r="I27" s="56">
        <f t="shared" si="6"/>
        <v>770</v>
      </c>
      <c r="J27" s="57">
        <f t="shared" si="7"/>
        <v>5045</v>
      </c>
    </row>
    <row r="28" spans="1:10" x14ac:dyDescent="0.25">
      <c r="A28" s="59" t="s">
        <v>127</v>
      </c>
      <c r="B28" s="46" t="s">
        <v>128</v>
      </c>
      <c r="C28" s="44" t="s">
        <v>605</v>
      </c>
      <c r="D28" s="44" t="s">
        <v>641</v>
      </c>
      <c r="E28" s="45">
        <v>4200</v>
      </c>
      <c r="F28" s="42">
        <v>18</v>
      </c>
      <c r="G28" s="56">
        <f t="shared" si="4"/>
        <v>378</v>
      </c>
      <c r="H28" s="56">
        <f t="shared" si="5"/>
        <v>378</v>
      </c>
      <c r="I28" s="56">
        <f t="shared" si="6"/>
        <v>756</v>
      </c>
      <c r="J28" s="57">
        <f t="shared" si="7"/>
        <v>4956</v>
      </c>
    </row>
    <row r="29" spans="1:10" x14ac:dyDescent="0.25">
      <c r="A29" s="59" t="s">
        <v>127</v>
      </c>
      <c r="B29" s="46" t="s">
        <v>128</v>
      </c>
      <c r="C29" s="44" t="s">
        <v>606</v>
      </c>
      <c r="D29" s="44" t="s">
        <v>580</v>
      </c>
      <c r="E29" s="45">
        <v>7480</v>
      </c>
      <c r="F29" s="42">
        <v>18</v>
      </c>
      <c r="G29" s="56">
        <f t="shared" si="4"/>
        <v>673</v>
      </c>
      <c r="H29" s="56">
        <f t="shared" si="5"/>
        <v>673</v>
      </c>
      <c r="I29" s="56">
        <f t="shared" si="6"/>
        <v>1346</v>
      </c>
      <c r="J29" s="57">
        <f t="shared" si="7"/>
        <v>8826</v>
      </c>
    </row>
    <row r="30" spans="1:10" x14ac:dyDescent="0.25">
      <c r="A30" s="59" t="s">
        <v>255</v>
      </c>
      <c r="B30" s="46" t="s">
        <v>256</v>
      </c>
      <c r="C30" s="44" t="s">
        <v>607</v>
      </c>
      <c r="D30" s="44" t="s">
        <v>580</v>
      </c>
      <c r="E30" s="45">
        <v>3600</v>
      </c>
      <c r="F30" s="42">
        <v>18</v>
      </c>
      <c r="G30" s="56">
        <f t="shared" si="4"/>
        <v>324</v>
      </c>
      <c r="H30" s="56">
        <f t="shared" si="5"/>
        <v>324</v>
      </c>
      <c r="I30" s="56">
        <f t="shared" si="6"/>
        <v>648</v>
      </c>
      <c r="J30" s="57">
        <f t="shared" si="7"/>
        <v>4248</v>
      </c>
    </row>
    <row r="31" spans="1:10" x14ac:dyDescent="0.25">
      <c r="A31" s="59" t="s">
        <v>255</v>
      </c>
      <c r="B31" s="46" t="s">
        <v>256</v>
      </c>
      <c r="C31" s="44" t="s">
        <v>608</v>
      </c>
      <c r="D31" s="44" t="s">
        <v>580</v>
      </c>
      <c r="E31" s="45">
        <v>4240</v>
      </c>
      <c r="F31" s="42">
        <v>18</v>
      </c>
      <c r="G31" s="56">
        <f t="shared" si="4"/>
        <v>382</v>
      </c>
      <c r="H31" s="56">
        <f t="shared" si="5"/>
        <v>382</v>
      </c>
      <c r="I31" s="56">
        <f t="shared" si="6"/>
        <v>764</v>
      </c>
      <c r="J31" s="57">
        <f t="shared" si="7"/>
        <v>5004</v>
      </c>
    </row>
    <row r="32" spans="1:10" x14ac:dyDescent="0.25">
      <c r="A32" s="59" t="s">
        <v>255</v>
      </c>
      <c r="B32" s="46" t="s">
        <v>256</v>
      </c>
      <c r="C32" s="44" t="s">
        <v>609</v>
      </c>
      <c r="D32" s="44" t="s">
        <v>580</v>
      </c>
      <c r="E32" s="45">
        <v>3200</v>
      </c>
      <c r="F32" s="42">
        <v>18</v>
      </c>
      <c r="G32" s="56">
        <f t="shared" si="4"/>
        <v>288</v>
      </c>
      <c r="H32" s="56">
        <f t="shared" si="5"/>
        <v>288</v>
      </c>
      <c r="I32" s="56">
        <f t="shared" si="6"/>
        <v>576</v>
      </c>
      <c r="J32" s="57">
        <f t="shared" si="7"/>
        <v>3776</v>
      </c>
    </row>
    <row r="33" spans="1:10" x14ac:dyDescent="0.25">
      <c r="A33" s="59" t="s">
        <v>255</v>
      </c>
      <c r="B33" s="46" t="s">
        <v>256</v>
      </c>
      <c r="C33" s="44" t="s">
        <v>610</v>
      </c>
      <c r="D33" s="44" t="s">
        <v>580</v>
      </c>
      <c r="E33" s="45">
        <v>3000</v>
      </c>
      <c r="F33" s="42">
        <v>18</v>
      </c>
      <c r="G33" s="56">
        <f t="shared" si="4"/>
        <v>270</v>
      </c>
      <c r="H33" s="56">
        <f t="shared" si="5"/>
        <v>270</v>
      </c>
      <c r="I33" s="56">
        <f t="shared" si="6"/>
        <v>540</v>
      </c>
      <c r="J33" s="57">
        <f t="shared" si="7"/>
        <v>3540</v>
      </c>
    </row>
    <row r="34" spans="1:10" x14ac:dyDescent="0.25">
      <c r="A34" s="59" t="s">
        <v>255</v>
      </c>
      <c r="B34" s="46" t="s">
        <v>256</v>
      </c>
      <c r="C34" s="44" t="s">
        <v>611</v>
      </c>
      <c r="D34" s="44" t="s">
        <v>580</v>
      </c>
      <c r="E34" s="45">
        <v>2000</v>
      </c>
      <c r="F34" s="42">
        <v>18</v>
      </c>
      <c r="G34" s="56">
        <f t="shared" si="4"/>
        <v>180</v>
      </c>
      <c r="H34" s="56">
        <f t="shared" si="5"/>
        <v>180</v>
      </c>
      <c r="I34" s="56">
        <f t="shared" si="6"/>
        <v>360</v>
      </c>
      <c r="J34" s="57">
        <f t="shared" si="7"/>
        <v>2360</v>
      </c>
    </row>
    <row r="35" spans="1:10" x14ac:dyDescent="0.25">
      <c r="A35" s="59" t="s">
        <v>631</v>
      </c>
      <c r="B35" s="46" t="s">
        <v>632</v>
      </c>
      <c r="C35" s="44" t="s">
        <v>612</v>
      </c>
      <c r="D35" s="44" t="s">
        <v>580</v>
      </c>
      <c r="E35" s="45">
        <v>13440</v>
      </c>
      <c r="F35" s="42">
        <v>18</v>
      </c>
      <c r="G35" s="56">
        <f t="shared" si="4"/>
        <v>1210</v>
      </c>
      <c r="H35" s="56">
        <f t="shared" si="5"/>
        <v>1210</v>
      </c>
      <c r="I35" s="56">
        <f t="shared" si="6"/>
        <v>2420</v>
      </c>
      <c r="J35" s="57">
        <f t="shared" si="7"/>
        <v>15860</v>
      </c>
    </row>
    <row r="36" spans="1:10" x14ac:dyDescent="0.25">
      <c r="A36" s="59" t="s">
        <v>518</v>
      </c>
      <c r="B36" s="46" t="s">
        <v>517</v>
      </c>
      <c r="C36" s="44" t="s">
        <v>613</v>
      </c>
      <c r="D36" s="44" t="s">
        <v>583</v>
      </c>
      <c r="E36" s="45">
        <v>60097</v>
      </c>
      <c r="F36" s="42">
        <v>18</v>
      </c>
      <c r="G36" s="56">
        <f t="shared" si="4"/>
        <v>5409</v>
      </c>
      <c r="H36" s="56">
        <f t="shared" si="5"/>
        <v>5409</v>
      </c>
      <c r="I36" s="56">
        <f t="shared" si="6"/>
        <v>10818</v>
      </c>
      <c r="J36" s="57">
        <f t="shared" si="7"/>
        <v>70915</v>
      </c>
    </row>
    <row r="37" spans="1:10" x14ac:dyDescent="0.25">
      <c r="A37" s="59" t="s">
        <v>127</v>
      </c>
      <c r="B37" s="46" t="s">
        <v>128</v>
      </c>
      <c r="C37" s="44" t="s">
        <v>614</v>
      </c>
      <c r="D37" s="44" t="s">
        <v>583</v>
      </c>
      <c r="E37" s="45">
        <v>5200</v>
      </c>
      <c r="F37" s="42">
        <v>18</v>
      </c>
      <c r="G37" s="56">
        <f t="shared" si="4"/>
        <v>468</v>
      </c>
      <c r="H37" s="56">
        <f t="shared" si="5"/>
        <v>468</v>
      </c>
      <c r="I37" s="56">
        <f t="shared" si="6"/>
        <v>936</v>
      </c>
      <c r="J37" s="57">
        <f t="shared" si="7"/>
        <v>6136</v>
      </c>
    </row>
    <row r="38" spans="1:10" x14ac:dyDescent="0.25">
      <c r="A38" s="59" t="s">
        <v>255</v>
      </c>
      <c r="B38" s="46" t="s">
        <v>256</v>
      </c>
      <c r="C38" s="44" t="s">
        <v>615</v>
      </c>
      <c r="D38" s="44" t="s">
        <v>588</v>
      </c>
      <c r="E38" s="45">
        <v>19200</v>
      </c>
      <c r="F38" s="42">
        <v>18</v>
      </c>
      <c r="G38" s="56">
        <f t="shared" si="4"/>
        <v>1728</v>
      </c>
      <c r="H38" s="56">
        <f t="shared" si="5"/>
        <v>1728</v>
      </c>
      <c r="I38" s="56">
        <f t="shared" si="6"/>
        <v>3456</v>
      </c>
      <c r="J38" s="57">
        <f t="shared" si="7"/>
        <v>22656</v>
      </c>
    </row>
    <row r="39" spans="1:10" x14ac:dyDescent="0.25">
      <c r="A39" s="59" t="s">
        <v>306</v>
      </c>
      <c r="B39" s="46" t="s">
        <v>124</v>
      </c>
      <c r="C39" s="44" t="s">
        <v>616</v>
      </c>
      <c r="D39" s="44" t="s">
        <v>642</v>
      </c>
      <c r="E39" s="45">
        <v>1200</v>
      </c>
      <c r="F39" s="42">
        <v>18</v>
      </c>
      <c r="G39" s="56">
        <f t="shared" si="4"/>
        <v>108</v>
      </c>
      <c r="H39" s="56">
        <f t="shared" si="5"/>
        <v>108</v>
      </c>
      <c r="I39" s="56">
        <f t="shared" si="6"/>
        <v>216</v>
      </c>
      <c r="J39" s="57">
        <f t="shared" si="7"/>
        <v>1416</v>
      </c>
    </row>
    <row r="40" spans="1:10" x14ac:dyDescent="0.25">
      <c r="A40" s="59" t="s">
        <v>306</v>
      </c>
      <c r="B40" s="46" t="s">
        <v>124</v>
      </c>
      <c r="C40" s="44" t="s">
        <v>617</v>
      </c>
      <c r="D40" s="44" t="s">
        <v>642</v>
      </c>
      <c r="E40" s="45">
        <v>375</v>
      </c>
      <c r="F40" s="42">
        <v>18</v>
      </c>
      <c r="G40" s="56">
        <f t="shared" si="4"/>
        <v>34</v>
      </c>
      <c r="H40" s="56">
        <f t="shared" si="5"/>
        <v>34</v>
      </c>
      <c r="I40" s="56">
        <f t="shared" si="6"/>
        <v>68</v>
      </c>
      <c r="J40" s="57">
        <f t="shared" si="7"/>
        <v>443</v>
      </c>
    </row>
    <row r="41" spans="1:10" x14ac:dyDescent="0.25">
      <c r="A41" s="59" t="s">
        <v>306</v>
      </c>
      <c r="B41" s="46" t="s">
        <v>124</v>
      </c>
      <c r="C41" s="44" t="s">
        <v>618</v>
      </c>
      <c r="D41" s="44" t="s">
        <v>642</v>
      </c>
      <c r="E41" s="45">
        <v>816</v>
      </c>
      <c r="F41" s="42">
        <v>18</v>
      </c>
      <c r="G41" s="56">
        <f t="shared" si="4"/>
        <v>73</v>
      </c>
      <c r="H41" s="56">
        <f t="shared" si="5"/>
        <v>73</v>
      </c>
      <c r="I41" s="56">
        <f t="shared" si="6"/>
        <v>146</v>
      </c>
      <c r="J41" s="57">
        <f t="shared" si="7"/>
        <v>962</v>
      </c>
    </row>
    <row r="42" spans="1:10" x14ac:dyDescent="0.25">
      <c r="A42" s="59" t="s">
        <v>306</v>
      </c>
      <c r="B42" s="46" t="s">
        <v>124</v>
      </c>
      <c r="C42" s="44" t="s">
        <v>619</v>
      </c>
      <c r="D42" s="44" t="s">
        <v>642</v>
      </c>
      <c r="E42" s="45">
        <v>800</v>
      </c>
      <c r="F42" s="42">
        <v>18</v>
      </c>
      <c r="G42" s="56">
        <f t="shared" si="4"/>
        <v>72</v>
      </c>
      <c r="H42" s="56">
        <f t="shared" si="5"/>
        <v>72</v>
      </c>
      <c r="I42" s="56">
        <f t="shared" si="6"/>
        <v>144</v>
      </c>
      <c r="J42" s="57">
        <f t="shared" si="7"/>
        <v>944</v>
      </c>
    </row>
    <row r="43" spans="1:10" x14ac:dyDescent="0.25">
      <c r="A43" s="59" t="s">
        <v>135</v>
      </c>
      <c r="B43" s="46" t="s">
        <v>136</v>
      </c>
      <c r="C43" s="44" t="s">
        <v>620</v>
      </c>
      <c r="D43" s="44" t="s">
        <v>642</v>
      </c>
      <c r="E43" s="45">
        <v>984</v>
      </c>
      <c r="F43" s="42">
        <v>18</v>
      </c>
      <c r="G43" s="56">
        <f t="shared" si="4"/>
        <v>89</v>
      </c>
      <c r="H43" s="56">
        <f t="shared" si="5"/>
        <v>89</v>
      </c>
      <c r="I43" s="56">
        <f t="shared" si="6"/>
        <v>178</v>
      </c>
      <c r="J43" s="57">
        <f t="shared" si="7"/>
        <v>1162</v>
      </c>
    </row>
    <row r="44" spans="1:10" x14ac:dyDescent="0.25">
      <c r="A44" s="59" t="s">
        <v>135</v>
      </c>
      <c r="B44" s="46" t="s">
        <v>136</v>
      </c>
      <c r="C44" s="44" t="s">
        <v>621</v>
      </c>
      <c r="D44" s="44" t="s">
        <v>642</v>
      </c>
      <c r="E44" s="45">
        <v>1608</v>
      </c>
      <c r="F44" s="42">
        <v>18</v>
      </c>
      <c r="G44" s="56">
        <f t="shared" si="4"/>
        <v>145</v>
      </c>
      <c r="H44" s="56">
        <f t="shared" si="5"/>
        <v>145</v>
      </c>
      <c r="I44" s="56">
        <f t="shared" si="6"/>
        <v>290</v>
      </c>
      <c r="J44" s="57">
        <f t="shared" si="7"/>
        <v>1898</v>
      </c>
    </row>
    <row r="45" spans="1:10" x14ac:dyDescent="0.25">
      <c r="A45" s="59" t="s">
        <v>135</v>
      </c>
      <c r="B45" s="46" t="s">
        <v>136</v>
      </c>
      <c r="C45" s="44" t="s">
        <v>622</v>
      </c>
      <c r="D45" s="44" t="s">
        <v>642</v>
      </c>
      <c r="E45" s="45">
        <v>2412</v>
      </c>
      <c r="F45" s="42">
        <v>18</v>
      </c>
      <c r="G45" s="56">
        <f t="shared" si="4"/>
        <v>217</v>
      </c>
      <c r="H45" s="56">
        <f t="shared" si="5"/>
        <v>217</v>
      </c>
      <c r="I45" s="56">
        <f t="shared" si="6"/>
        <v>434</v>
      </c>
      <c r="J45" s="57">
        <f t="shared" si="7"/>
        <v>2846</v>
      </c>
    </row>
    <row r="46" spans="1:10" x14ac:dyDescent="0.25">
      <c r="A46" s="59" t="s">
        <v>127</v>
      </c>
      <c r="B46" s="46" t="s">
        <v>128</v>
      </c>
      <c r="C46" s="44" t="s">
        <v>623</v>
      </c>
      <c r="D46" s="44" t="s">
        <v>643</v>
      </c>
      <c r="E46" s="45">
        <v>900</v>
      </c>
      <c r="F46" s="42">
        <v>18</v>
      </c>
      <c r="G46" s="56">
        <f t="shared" si="4"/>
        <v>81</v>
      </c>
      <c r="H46" s="56">
        <f t="shared" si="5"/>
        <v>81</v>
      </c>
      <c r="I46" s="56">
        <f t="shared" si="6"/>
        <v>162</v>
      </c>
      <c r="J46" s="57">
        <f t="shared" si="7"/>
        <v>1062</v>
      </c>
    </row>
    <row r="47" spans="1:10" x14ac:dyDescent="0.25">
      <c r="A47" s="59" t="s">
        <v>306</v>
      </c>
      <c r="B47" s="46" t="s">
        <v>124</v>
      </c>
      <c r="C47" s="44" t="s">
        <v>624</v>
      </c>
      <c r="D47" s="44" t="s">
        <v>643</v>
      </c>
      <c r="E47" s="45">
        <v>680</v>
      </c>
      <c r="F47" s="42">
        <v>18</v>
      </c>
      <c r="G47" s="56">
        <f t="shared" si="4"/>
        <v>61</v>
      </c>
      <c r="H47" s="56">
        <f t="shared" si="5"/>
        <v>61</v>
      </c>
      <c r="I47" s="56">
        <f t="shared" si="6"/>
        <v>122</v>
      </c>
      <c r="J47" s="57">
        <f t="shared" si="7"/>
        <v>802</v>
      </c>
    </row>
    <row r="48" spans="1:10" x14ac:dyDescent="0.25">
      <c r="A48" s="59" t="s">
        <v>135</v>
      </c>
      <c r="B48" s="46" t="s">
        <v>136</v>
      </c>
      <c r="C48" s="44" t="s">
        <v>625</v>
      </c>
      <c r="D48" s="44" t="s">
        <v>643</v>
      </c>
      <c r="E48" s="45">
        <v>1368</v>
      </c>
      <c r="F48" s="42">
        <v>18</v>
      </c>
      <c r="G48" s="56">
        <f t="shared" si="4"/>
        <v>123</v>
      </c>
      <c r="H48" s="56">
        <f t="shared" si="5"/>
        <v>123</v>
      </c>
      <c r="I48" s="56">
        <f t="shared" si="6"/>
        <v>246</v>
      </c>
      <c r="J48" s="57">
        <f t="shared" si="7"/>
        <v>1614</v>
      </c>
    </row>
    <row r="49" spans="1:10" x14ac:dyDescent="0.25">
      <c r="A49" s="59" t="s">
        <v>135</v>
      </c>
      <c r="B49" s="46" t="s">
        <v>136</v>
      </c>
      <c r="C49" s="44" t="s">
        <v>626</v>
      </c>
      <c r="D49" s="44" t="s">
        <v>643</v>
      </c>
      <c r="E49" s="45">
        <v>2052</v>
      </c>
      <c r="F49" s="42">
        <v>18</v>
      </c>
      <c r="G49" s="56">
        <f t="shared" si="4"/>
        <v>185</v>
      </c>
      <c r="H49" s="56">
        <f t="shared" si="5"/>
        <v>185</v>
      </c>
      <c r="I49" s="56">
        <f t="shared" si="6"/>
        <v>370</v>
      </c>
      <c r="J49" s="57">
        <f t="shared" si="7"/>
        <v>2422</v>
      </c>
    </row>
    <row r="50" spans="1:10" x14ac:dyDescent="0.25">
      <c r="A50" s="59" t="s">
        <v>135</v>
      </c>
      <c r="B50" s="46" t="s">
        <v>136</v>
      </c>
      <c r="C50" s="44" t="s">
        <v>627</v>
      </c>
      <c r="D50" s="44" t="s">
        <v>643</v>
      </c>
      <c r="E50" s="45">
        <v>2052</v>
      </c>
      <c r="F50" s="42">
        <v>18</v>
      </c>
      <c r="G50" s="56">
        <f t="shared" si="4"/>
        <v>185</v>
      </c>
      <c r="H50" s="56">
        <f t="shared" si="5"/>
        <v>185</v>
      </c>
      <c r="I50" s="56">
        <f t="shared" si="6"/>
        <v>370</v>
      </c>
      <c r="J50" s="57">
        <f t="shared" si="7"/>
        <v>2422</v>
      </c>
    </row>
    <row r="51" spans="1:10" x14ac:dyDescent="0.25">
      <c r="A51" s="59" t="s">
        <v>135</v>
      </c>
      <c r="B51" s="46" t="s">
        <v>136</v>
      </c>
      <c r="C51" s="44" t="s">
        <v>628</v>
      </c>
      <c r="D51" s="44" t="s">
        <v>643</v>
      </c>
      <c r="E51" s="45">
        <v>2052</v>
      </c>
      <c r="F51" s="42">
        <v>18</v>
      </c>
      <c r="G51" s="56">
        <f t="shared" si="4"/>
        <v>185</v>
      </c>
      <c r="H51" s="56">
        <f t="shared" si="5"/>
        <v>185</v>
      </c>
      <c r="I51" s="56">
        <f t="shared" si="6"/>
        <v>370</v>
      </c>
      <c r="J51" s="57">
        <f t="shared" si="7"/>
        <v>2422</v>
      </c>
    </row>
    <row r="52" spans="1:10" x14ac:dyDescent="0.25">
      <c r="A52" s="59" t="s">
        <v>135</v>
      </c>
      <c r="B52" s="46" t="s">
        <v>136</v>
      </c>
      <c r="C52" s="44" t="s">
        <v>629</v>
      </c>
      <c r="D52" s="44" t="s">
        <v>644</v>
      </c>
      <c r="E52" s="45">
        <v>2280</v>
      </c>
      <c r="F52" s="42">
        <v>18</v>
      </c>
      <c r="G52" s="56">
        <f t="shared" si="4"/>
        <v>205</v>
      </c>
      <c r="H52" s="56">
        <f t="shared" si="5"/>
        <v>205</v>
      </c>
      <c r="I52" s="56">
        <f t="shared" si="6"/>
        <v>410</v>
      </c>
      <c r="J52" s="57">
        <f t="shared" si="7"/>
        <v>2690</v>
      </c>
    </row>
    <row r="53" spans="1:10" x14ac:dyDescent="0.25">
      <c r="A53" s="59" t="s">
        <v>127</v>
      </c>
      <c r="B53" s="46" t="s">
        <v>128</v>
      </c>
      <c r="C53" s="44" t="s">
        <v>630</v>
      </c>
      <c r="D53" s="44" t="s">
        <v>645</v>
      </c>
      <c r="E53" s="45">
        <v>8800</v>
      </c>
      <c r="F53" s="42">
        <v>18</v>
      </c>
      <c r="G53" s="56">
        <f t="shared" si="4"/>
        <v>792</v>
      </c>
      <c r="H53" s="56">
        <f t="shared" si="5"/>
        <v>792</v>
      </c>
      <c r="I53" s="56">
        <f t="shared" si="6"/>
        <v>1584</v>
      </c>
      <c r="J53" s="57">
        <f t="shared" si="7"/>
        <v>10384</v>
      </c>
    </row>
    <row r="54" spans="1:10" x14ac:dyDescent="0.25">
      <c r="A54" s="59"/>
      <c r="B54" s="46"/>
      <c r="C54" s="44"/>
      <c r="D54" s="44"/>
      <c r="E54" s="45">
        <v>0</v>
      </c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59"/>
      <c r="B55" s="46"/>
      <c r="C55" s="44"/>
      <c r="D55" s="44"/>
      <c r="E55" s="45">
        <v>0</v>
      </c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59"/>
      <c r="B56" s="46"/>
      <c r="C56" s="44"/>
      <c r="D56" s="44"/>
      <c r="E56" s="45">
        <v>0</v>
      </c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59"/>
      <c r="B57" s="46"/>
      <c r="C57" s="44"/>
      <c r="D57" s="44"/>
      <c r="E57" s="45">
        <v>0</v>
      </c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59"/>
      <c r="B58" s="46"/>
      <c r="C58" s="44"/>
      <c r="D58" s="44"/>
      <c r="E58" s="45">
        <v>0</v>
      </c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59"/>
      <c r="B59" s="46"/>
      <c r="C59" s="44"/>
      <c r="D59" s="44"/>
      <c r="E59" s="45">
        <v>0</v>
      </c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59"/>
      <c r="B60" s="46"/>
      <c r="C60" s="44"/>
      <c r="D60" s="44"/>
      <c r="E60" s="45">
        <v>0</v>
      </c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  <row r="61" spans="1:10" x14ac:dyDescent="0.25">
      <c r="A61" s="59"/>
      <c r="B61" s="46"/>
      <c r="C61" s="44"/>
      <c r="D61" s="44"/>
      <c r="E61" s="45">
        <v>0</v>
      </c>
      <c r="F61" s="42">
        <v>18</v>
      </c>
      <c r="G61" s="56">
        <f t="shared" si="4"/>
        <v>0</v>
      </c>
      <c r="H61" s="56">
        <f t="shared" si="5"/>
        <v>0</v>
      </c>
      <c r="I61" s="56">
        <f t="shared" si="6"/>
        <v>0</v>
      </c>
      <c r="J61" s="57">
        <f t="shared" si="7"/>
        <v>0</v>
      </c>
    </row>
    <row r="62" spans="1:10" x14ac:dyDescent="0.25">
      <c r="A62" s="59"/>
      <c r="B62" s="46"/>
      <c r="C62" s="44"/>
      <c r="D62" s="44"/>
      <c r="E62" s="45">
        <v>0</v>
      </c>
      <c r="F62" s="42">
        <v>18</v>
      </c>
      <c r="G62" s="56">
        <f t="shared" si="4"/>
        <v>0</v>
      </c>
      <c r="H62" s="56">
        <f t="shared" si="5"/>
        <v>0</v>
      </c>
      <c r="I62" s="56">
        <f t="shared" si="6"/>
        <v>0</v>
      </c>
      <c r="J62" s="57">
        <f t="shared" si="7"/>
        <v>0</v>
      </c>
    </row>
    <row r="63" spans="1:10" x14ac:dyDescent="0.25">
      <c r="A63" s="59"/>
      <c r="B63" s="46"/>
      <c r="C63" s="44"/>
      <c r="D63" s="44"/>
      <c r="E63" s="45">
        <v>0</v>
      </c>
      <c r="F63" s="42">
        <v>18</v>
      </c>
      <c r="G63" s="56">
        <f t="shared" si="4"/>
        <v>0</v>
      </c>
      <c r="H63" s="56">
        <f t="shared" si="5"/>
        <v>0</v>
      </c>
      <c r="I63" s="56">
        <f t="shared" si="6"/>
        <v>0</v>
      </c>
      <c r="J63" s="57">
        <f t="shared" si="7"/>
        <v>0</v>
      </c>
    </row>
    <row r="64" spans="1:10" x14ac:dyDescent="0.25">
      <c r="A64" s="59"/>
      <c r="B64" s="46"/>
      <c r="C64" s="44"/>
      <c r="D64" s="44"/>
      <c r="E64" s="45">
        <v>0</v>
      </c>
      <c r="F64" s="42">
        <v>18</v>
      </c>
      <c r="G64" s="56">
        <f t="shared" si="4"/>
        <v>0</v>
      </c>
      <c r="H64" s="56">
        <f t="shared" si="5"/>
        <v>0</v>
      </c>
      <c r="I64" s="56">
        <f t="shared" si="6"/>
        <v>0</v>
      </c>
      <c r="J64" s="57">
        <f t="shared" si="7"/>
        <v>0</v>
      </c>
    </row>
    <row r="65" spans="1:10" x14ac:dyDescent="0.25">
      <c r="A65" s="59"/>
      <c r="B65" s="46"/>
      <c r="C65" s="44"/>
      <c r="D65" s="44"/>
      <c r="E65" s="45">
        <v>0</v>
      </c>
      <c r="F65" s="42">
        <v>18</v>
      </c>
      <c r="G65" s="56">
        <f t="shared" si="4"/>
        <v>0</v>
      </c>
      <c r="H65" s="56">
        <f t="shared" si="5"/>
        <v>0</v>
      </c>
      <c r="I65" s="56">
        <f t="shared" si="6"/>
        <v>0</v>
      </c>
      <c r="J65" s="57">
        <f t="shared" si="7"/>
        <v>0</v>
      </c>
    </row>
    <row r="66" spans="1:10" x14ac:dyDescent="0.25">
      <c r="A66" s="59"/>
      <c r="B66" s="46"/>
      <c r="C66" s="44"/>
      <c r="D66" s="44"/>
      <c r="E66" s="45">
        <v>0</v>
      </c>
      <c r="F66" s="42">
        <v>18</v>
      </c>
      <c r="G66" s="56">
        <f t="shared" ref="G66:G129" si="8">ROUND((E66*F66%)/2,)</f>
        <v>0</v>
      </c>
      <c r="H66" s="56">
        <f t="shared" ref="H66:H129" si="9">G66</f>
        <v>0</v>
      </c>
      <c r="I66" s="56">
        <f t="shared" ref="I66:I129" si="10">G66+H66</f>
        <v>0</v>
      </c>
      <c r="J66" s="57">
        <f t="shared" ref="J66:J129" si="11">E66+I66</f>
        <v>0</v>
      </c>
    </row>
    <row r="67" spans="1:10" x14ac:dyDescent="0.25">
      <c r="A67" s="59"/>
      <c r="B67" s="46"/>
      <c r="C67" s="44"/>
      <c r="D67" s="44"/>
      <c r="E67" s="45">
        <v>0</v>
      </c>
      <c r="F67" s="42">
        <v>18</v>
      </c>
      <c r="G67" s="56">
        <f t="shared" si="8"/>
        <v>0</v>
      </c>
      <c r="H67" s="56">
        <f t="shared" si="9"/>
        <v>0</v>
      </c>
      <c r="I67" s="56">
        <f t="shared" si="10"/>
        <v>0</v>
      </c>
      <c r="J67" s="57">
        <f t="shared" si="11"/>
        <v>0</v>
      </c>
    </row>
    <row r="68" spans="1:10" x14ac:dyDescent="0.25">
      <c r="A68" s="59"/>
      <c r="B68" s="46"/>
      <c r="C68" s="44"/>
      <c r="D68" s="44"/>
      <c r="E68" s="45">
        <v>0</v>
      </c>
      <c r="F68" s="42">
        <v>18</v>
      </c>
      <c r="G68" s="56">
        <f t="shared" si="8"/>
        <v>0</v>
      </c>
      <c r="H68" s="56">
        <f t="shared" si="9"/>
        <v>0</v>
      </c>
      <c r="I68" s="56">
        <f t="shared" si="10"/>
        <v>0</v>
      </c>
      <c r="J68" s="57">
        <f t="shared" si="11"/>
        <v>0</v>
      </c>
    </row>
    <row r="69" spans="1:10" x14ac:dyDescent="0.25">
      <c r="A69" s="59"/>
      <c r="B69" s="46"/>
      <c r="C69" s="44"/>
      <c r="D69" s="44"/>
      <c r="E69" s="45">
        <v>0</v>
      </c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59"/>
      <c r="B70" s="46"/>
      <c r="C70" s="44"/>
      <c r="D70" s="44"/>
      <c r="E70" s="45">
        <v>0</v>
      </c>
      <c r="F70" s="42">
        <v>18</v>
      </c>
      <c r="G70" s="56">
        <f t="shared" si="8"/>
        <v>0</v>
      </c>
      <c r="H70" s="56">
        <f t="shared" si="9"/>
        <v>0</v>
      </c>
      <c r="I70" s="56">
        <f t="shared" si="10"/>
        <v>0</v>
      </c>
      <c r="J70" s="57">
        <f t="shared" si="11"/>
        <v>0</v>
      </c>
    </row>
    <row r="71" spans="1:10" x14ac:dyDescent="0.25">
      <c r="A71" s="59"/>
      <c r="B71" s="46"/>
      <c r="C71" s="44"/>
      <c r="D71" s="44"/>
      <c r="E71" s="45">
        <v>0</v>
      </c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59"/>
      <c r="B72" s="46"/>
      <c r="C72" s="44"/>
      <c r="D72" s="44"/>
      <c r="E72" s="45">
        <v>0</v>
      </c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59"/>
      <c r="B73" s="46"/>
      <c r="C73" s="44"/>
      <c r="D73" s="44"/>
      <c r="E73" s="45">
        <v>0</v>
      </c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59"/>
      <c r="B74" s="46"/>
      <c r="C74" s="44"/>
      <c r="D74" s="44"/>
      <c r="E74" s="45">
        <v>0</v>
      </c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59"/>
      <c r="B75" s="46"/>
      <c r="C75" s="44"/>
      <c r="D75" s="44"/>
      <c r="E75" s="45">
        <v>0</v>
      </c>
      <c r="F75" s="42">
        <v>18</v>
      </c>
      <c r="G75" s="56">
        <f t="shared" si="8"/>
        <v>0</v>
      </c>
      <c r="H75" s="56">
        <f t="shared" si="9"/>
        <v>0</v>
      </c>
      <c r="I75" s="56">
        <f t="shared" si="10"/>
        <v>0</v>
      </c>
      <c r="J75" s="57">
        <f t="shared" si="11"/>
        <v>0</v>
      </c>
    </row>
    <row r="76" spans="1:10" x14ac:dyDescent="0.25">
      <c r="A76" s="59"/>
      <c r="B76" s="46"/>
      <c r="C76" s="44"/>
      <c r="D76" s="44"/>
      <c r="E76" s="45">
        <v>0</v>
      </c>
      <c r="F76" s="42">
        <v>18</v>
      </c>
      <c r="G76" s="56">
        <f t="shared" si="8"/>
        <v>0</v>
      </c>
      <c r="H76" s="56">
        <f t="shared" si="9"/>
        <v>0</v>
      </c>
      <c r="I76" s="56">
        <f t="shared" si="10"/>
        <v>0</v>
      </c>
      <c r="J76" s="57">
        <f t="shared" si="11"/>
        <v>0</v>
      </c>
    </row>
    <row r="77" spans="1:10" x14ac:dyDescent="0.25">
      <c r="A77" s="59"/>
      <c r="B77" s="46"/>
      <c r="C77" s="44"/>
      <c r="D77" s="44"/>
      <c r="E77" s="45">
        <v>0</v>
      </c>
      <c r="F77" s="42">
        <v>18</v>
      </c>
      <c r="G77" s="56">
        <f t="shared" si="8"/>
        <v>0</v>
      </c>
      <c r="H77" s="56">
        <f t="shared" si="9"/>
        <v>0</v>
      </c>
      <c r="I77" s="56">
        <f t="shared" si="10"/>
        <v>0</v>
      </c>
      <c r="J77" s="57">
        <f t="shared" si="11"/>
        <v>0</v>
      </c>
    </row>
    <row r="78" spans="1:10" x14ac:dyDescent="0.25">
      <c r="A78" s="59"/>
      <c r="B78" s="46"/>
      <c r="C78" s="44"/>
      <c r="D78" s="44"/>
      <c r="E78" s="45">
        <v>0</v>
      </c>
      <c r="F78" s="42">
        <v>18</v>
      </c>
      <c r="G78" s="56">
        <f t="shared" si="8"/>
        <v>0</v>
      </c>
      <c r="H78" s="56">
        <f t="shared" si="9"/>
        <v>0</v>
      </c>
      <c r="I78" s="56">
        <f t="shared" si="10"/>
        <v>0</v>
      </c>
      <c r="J78" s="57">
        <f t="shared" si="11"/>
        <v>0</v>
      </c>
    </row>
    <row r="79" spans="1:10" x14ac:dyDescent="0.25">
      <c r="A79" s="59"/>
      <c r="B79" s="46"/>
      <c r="C79" s="44"/>
      <c r="D79" s="44"/>
      <c r="E79" s="45">
        <v>0</v>
      </c>
      <c r="F79" s="42">
        <v>18</v>
      </c>
      <c r="G79" s="56">
        <f t="shared" si="8"/>
        <v>0</v>
      </c>
      <c r="H79" s="56">
        <f t="shared" si="9"/>
        <v>0</v>
      </c>
      <c r="I79" s="56">
        <f t="shared" si="10"/>
        <v>0</v>
      </c>
      <c r="J79" s="57">
        <f t="shared" si="11"/>
        <v>0</v>
      </c>
    </row>
    <row r="80" spans="1:10" x14ac:dyDescent="0.25">
      <c r="A80" s="59"/>
      <c r="B80" s="46"/>
      <c r="C80" s="44"/>
      <c r="D80" s="44"/>
      <c r="E80" s="45">
        <v>0</v>
      </c>
      <c r="F80" s="42">
        <v>18</v>
      </c>
      <c r="G80" s="56">
        <f t="shared" si="8"/>
        <v>0</v>
      </c>
      <c r="H80" s="56">
        <f t="shared" si="9"/>
        <v>0</v>
      </c>
      <c r="I80" s="56">
        <f t="shared" si="10"/>
        <v>0</v>
      </c>
      <c r="J80" s="57">
        <f t="shared" si="11"/>
        <v>0</v>
      </c>
    </row>
    <row r="81" spans="1:10" x14ac:dyDescent="0.25">
      <c r="A81" s="59"/>
      <c r="B81" s="46"/>
      <c r="C81" s="44"/>
      <c r="D81" s="44"/>
      <c r="E81" s="45">
        <v>0</v>
      </c>
      <c r="F81" s="42">
        <v>18</v>
      </c>
      <c r="G81" s="56">
        <f t="shared" si="8"/>
        <v>0</v>
      </c>
      <c r="H81" s="56">
        <f t="shared" si="9"/>
        <v>0</v>
      </c>
      <c r="I81" s="56">
        <f t="shared" si="10"/>
        <v>0</v>
      </c>
      <c r="J81" s="57">
        <f t="shared" si="11"/>
        <v>0</v>
      </c>
    </row>
    <row r="82" spans="1:10" x14ac:dyDescent="0.25">
      <c r="A82" s="59"/>
      <c r="B82" s="46"/>
      <c r="C82" s="44"/>
      <c r="D82" s="44"/>
      <c r="E82" s="45">
        <v>0</v>
      </c>
      <c r="F82" s="42">
        <v>18</v>
      </c>
      <c r="G82" s="56">
        <f t="shared" si="8"/>
        <v>0</v>
      </c>
      <c r="H82" s="56">
        <f t="shared" si="9"/>
        <v>0</v>
      </c>
      <c r="I82" s="56">
        <f t="shared" si="10"/>
        <v>0</v>
      </c>
      <c r="J82" s="57">
        <f t="shared" si="11"/>
        <v>0</v>
      </c>
    </row>
    <row r="83" spans="1:10" x14ac:dyDescent="0.25">
      <c r="A83" s="59"/>
      <c r="B83" s="46"/>
      <c r="C83" s="44"/>
      <c r="D83" s="44"/>
      <c r="E83" s="45">
        <v>0</v>
      </c>
      <c r="F83" s="42">
        <v>18</v>
      </c>
      <c r="G83" s="56">
        <f t="shared" si="8"/>
        <v>0</v>
      </c>
      <c r="H83" s="56">
        <f t="shared" si="9"/>
        <v>0</v>
      </c>
      <c r="I83" s="56">
        <f t="shared" si="10"/>
        <v>0</v>
      </c>
      <c r="J83" s="57">
        <f t="shared" si="11"/>
        <v>0</v>
      </c>
    </row>
    <row r="84" spans="1:10" x14ac:dyDescent="0.25">
      <c r="A84" s="59"/>
      <c r="B84" s="46"/>
      <c r="C84" s="44"/>
      <c r="D84" s="44"/>
      <c r="E84" s="45">
        <v>0</v>
      </c>
      <c r="F84" s="42">
        <v>18</v>
      </c>
      <c r="G84" s="56">
        <f t="shared" si="8"/>
        <v>0</v>
      </c>
      <c r="H84" s="56">
        <f t="shared" si="9"/>
        <v>0</v>
      </c>
      <c r="I84" s="56">
        <f t="shared" si="10"/>
        <v>0</v>
      </c>
      <c r="J84" s="57">
        <f t="shared" si="11"/>
        <v>0</v>
      </c>
    </row>
    <row r="85" spans="1:10" x14ac:dyDescent="0.25">
      <c r="A85" s="59"/>
      <c r="B85" s="46"/>
      <c r="C85" s="44"/>
      <c r="D85" s="44"/>
      <c r="E85" s="45">
        <v>0</v>
      </c>
      <c r="F85" s="42">
        <v>18</v>
      </c>
      <c r="G85" s="56">
        <f t="shared" si="8"/>
        <v>0</v>
      </c>
      <c r="H85" s="56">
        <f t="shared" si="9"/>
        <v>0</v>
      </c>
      <c r="I85" s="56">
        <f t="shared" si="10"/>
        <v>0</v>
      </c>
      <c r="J85" s="57">
        <f t="shared" si="11"/>
        <v>0</v>
      </c>
    </row>
    <row r="86" spans="1:10" x14ac:dyDescent="0.25">
      <c r="A86" s="59"/>
      <c r="B86" s="46"/>
      <c r="C86" s="44"/>
      <c r="D86" s="44"/>
      <c r="E86" s="45">
        <v>0</v>
      </c>
      <c r="F86" s="42">
        <v>18</v>
      </c>
      <c r="G86" s="56">
        <f t="shared" si="8"/>
        <v>0</v>
      </c>
      <c r="H86" s="56">
        <f t="shared" si="9"/>
        <v>0</v>
      </c>
      <c r="I86" s="56">
        <f t="shared" si="10"/>
        <v>0</v>
      </c>
      <c r="J86" s="57">
        <f t="shared" si="11"/>
        <v>0</v>
      </c>
    </row>
    <row r="87" spans="1:10" x14ac:dyDescent="0.25">
      <c r="A87" s="59"/>
      <c r="B87" s="46"/>
      <c r="C87" s="44"/>
      <c r="D87" s="44"/>
      <c r="E87" s="45">
        <v>0</v>
      </c>
      <c r="F87" s="42">
        <v>18</v>
      </c>
      <c r="G87" s="56">
        <f t="shared" si="8"/>
        <v>0</v>
      </c>
      <c r="H87" s="56">
        <f t="shared" si="9"/>
        <v>0</v>
      </c>
      <c r="I87" s="56">
        <f t="shared" si="10"/>
        <v>0</v>
      </c>
      <c r="J87" s="57">
        <f t="shared" si="11"/>
        <v>0</v>
      </c>
    </row>
    <row r="88" spans="1:10" x14ac:dyDescent="0.25">
      <c r="A88" s="59"/>
      <c r="B88" s="46"/>
      <c r="C88" s="44"/>
      <c r="D88" s="44"/>
      <c r="E88" s="45">
        <v>0</v>
      </c>
      <c r="F88" s="42">
        <v>18</v>
      </c>
      <c r="G88" s="56">
        <f t="shared" si="8"/>
        <v>0</v>
      </c>
      <c r="H88" s="56">
        <f t="shared" si="9"/>
        <v>0</v>
      </c>
      <c r="I88" s="56">
        <f t="shared" si="10"/>
        <v>0</v>
      </c>
      <c r="J88" s="57">
        <f t="shared" si="11"/>
        <v>0</v>
      </c>
    </row>
    <row r="89" spans="1:10" x14ac:dyDescent="0.25">
      <c r="A89" s="59"/>
      <c r="B89" s="46"/>
      <c r="C89" s="44"/>
      <c r="D89" s="44"/>
      <c r="E89" s="45">
        <v>0</v>
      </c>
      <c r="F89" s="42">
        <v>18</v>
      </c>
      <c r="G89" s="56">
        <f t="shared" si="8"/>
        <v>0</v>
      </c>
      <c r="H89" s="56">
        <f t="shared" si="9"/>
        <v>0</v>
      </c>
      <c r="I89" s="56">
        <f t="shared" si="10"/>
        <v>0</v>
      </c>
      <c r="J89" s="57">
        <f t="shared" si="11"/>
        <v>0</v>
      </c>
    </row>
    <row r="90" spans="1:10" x14ac:dyDescent="0.25">
      <c r="A90" s="59"/>
      <c r="B90" s="46"/>
      <c r="C90" s="44"/>
      <c r="D90" s="44"/>
      <c r="E90" s="45">
        <v>0</v>
      </c>
      <c r="F90" s="42">
        <v>18</v>
      </c>
      <c r="G90" s="56">
        <f t="shared" si="8"/>
        <v>0</v>
      </c>
      <c r="H90" s="56">
        <f t="shared" si="9"/>
        <v>0</v>
      </c>
      <c r="I90" s="56">
        <f t="shared" si="10"/>
        <v>0</v>
      </c>
      <c r="J90" s="57">
        <f t="shared" si="11"/>
        <v>0</v>
      </c>
    </row>
    <row r="91" spans="1:10" x14ac:dyDescent="0.25">
      <c r="A91" s="59"/>
      <c r="B91" s="46"/>
      <c r="C91" s="44"/>
      <c r="D91" s="44"/>
      <c r="E91" s="45">
        <v>0</v>
      </c>
      <c r="F91" s="42">
        <v>18</v>
      </c>
      <c r="G91" s="56">
        <f t="shared" si="8"/>
        <v>0</v>
      </c>
      <c r="H91" s="56">
        <f t="shared" si="9"/>
        <v>0</v>
      </c>
      <c r="I91" s="56">
        <f t="shared" si="10"/>
        <v>0</v>
      </c>
      <c r="J91" s="57">
        <f t="shared" si="11"/>
        <v>0</v>
      </c>
    </row>
    <row r="92" spans="1:10" x14ac:dyDescent="0.25">
      <c r="A92" s="59"/>
      <c r="B92" s="46"/>
      <c r="C92" s="44"/>
      <c r="D92" s="44"/>
      <c r="E92" s="45">
        <v>0</v>
      </c>
      <c r="F92" s="42">
        <v>18</v>
      </c>
      <c r="G92" s="56">
        <f t="shared" si="8"/>
        <v>0</v>
      </c>
      <c r="H92" s="56">
        <f t="shared" si="9"/>
        <v>0</v>
      </c>
      <c r="I92" s="56">
        <f t="shared" si="10"/>
        <v>0</v>
      </c>
      <c r="J92" s="57">
        <f t="shared" si="11"/>
        <v>0</v>
      </c>
    </row>
    <row r="93" spans="1:10" x14ac:dyDescent="0.25">
      <c r="A93" s="59"/>
      <c r="B93" s="46"/>
      <c r="C93" s="44"/>
      <c r="D93" s="44"/>
      <c r="E93" s="45">
        <v>0</v>
      </c>
      <c r="F93" s="42">
        <v>18</v>
      </c>
      <c r="G93" s="56">
        <f t="shared" si="8"/>
        <v>0</v>
      </c>
      <c r="H93" s="56">
        <f t="shared" si="9"/>
        <v>0</v>
      </c>
      <c r="I93" s="56">
        <f t="shared" si="10"/>
        <v>0</v>
      </c>
      <c r="J93" s="57">
        <f t="shared" si="11"/>
        <v>0</v>
      </c>
    </row>
    <row r="94" spans="1:10" x14ac:dyDescent="0.25">
      <c r="A94" s="59"/>
      <c r="B94" s="46"/>
      <c r="C94" s="44"/>
      <c r="D94" s="44"/>
      <c r="E94" s="45">
        <v>0</v>
      </c>
      <c r="F94" s="42">
        <v>18</v>
      </c>
      <c r="G94" s="56">
        <f t="shared" si="8"/>
        <v>0</v>
      </c>
      <c r="H94" s="56">
        <f t="shared" si="9"/>
        <v>0</v>
      </c>
      <c r="I94" s="56">
        <f t="shared" si="10"/>
        <v>0</v>
      </c>
      <c r="J94" s="57">
        <f t="shared" si="11"/>
        <v>0</v>
      </c>
    </row>
    <row r="95" spans="1:10" x14ac:dyDescent="0.25">
      <c r="A95" s="59"/>
      <c r="B95" s="46"/>
      <c r="C95" s="44"/>
      <c r="D95" s="44"/>
      <c r="E95" s="45">
        <v>0</v>
      </c>
      <c r="F95" s="42">
        <v>18</v>
      </c>
      <c r="G95" s="56">
        <f t="shared" si="8"/>
        <v>0</v>
      </c>
      <c r="H95" s="56">
        <f t="shared" si="9"/>
        <v>0</v>
      </c>
      <c r="I95" s="56">
        <f t="shared" si="10"/>
        <v>0</v>
      </c>
      <c r="J95" s="57">
        <f t="shared" si="11"/>
        <v>0</v>
      </c>
    </row>
    <row r="96" spans="1:10" x14ac:dyDescent="0.25">
      <c r="A96" s="59"/>
      <c r="B96" s="46"/>
      <c r="C96" s="44"/>
      <c r="D96" s="44"/>
      <c r="E96" s="45">
        <v>0</v>
      </c>
      <c r="F96" s="42">
        <v>18</v>
      </c>
      <c r="G96" s="56">
        <f t="shared" si="8"/>
        <v>0</v>
      </c>
      <c r="H96" s="56">
        <f t="shared" si="9"/>
        <v>0</v>
      </c>
      <c r="I96" s="56">
        <f t="shared" si="10"/>
        <v>0</v>
      </c>
      <c r="J96" s="57">
        <f t="shared" si="11"/>
        <v>0</v>
      </c>
    </row>
    <row r="97" spans="1:10" x14ac:dyDescent="0.25">
      <c r="A97" s="59"/>
      <c r="B97" s="46"/>
      <c r="C97" s="44"/>
      <c r="D97" s="44"/>
      <c r="E97" s="45">
        <v>0</v>
      </c>
      <c r="F97" s="42">
        <v>18</v>
      </c>
      <c r="G97" s="56">
        <f t="shared" si="8"/>
        <v>0</v>
      </c>
      <c r="H97" s="56">
        <f t="shared" si="9"/>
        <v>0</v>
      </c>
      <c r="I97" s="56">
        <f t="shared" si="10"/>
        <v>0</v>
      </c>
      <c r="J97" s="57">
        <f t="shared" si="11"/>
        <v>0</v>
      </c>
    </row>
    <row r="98" spans="1:10" x14ac:dyDescent="0.25">
      <c r="A98" s="59"/>
      <c r="B98" s="46"/>
      <c r="C98" s="44"/>
      <c r="D98" s="44"/>
      <c r="E98" s="45">
        <v>0</v>
      </c>
      <c r="F98" s="42">
        <v>18</v>
      </c>
      <c r="G98" s="56">
        <f t="shared" si="8"/>
        <v>0</v>
      </c>
      <c r="H98" s="56">
        <f t="shared" si="9"/>
        <v>0</v>
      </c>
      <c r="I98" s="56">
        <f t="shared" si="10"/>
        <v>0</v>
      </c>
      <c r="J98" s="57">
        <f t="shared" si="11"/>
        <v>0</v>
      </c>
    </row>
    <row r="99" spans="1:10" x14ac:dyDescent="0.25">
      <c r="A99" s="59"/>
      <c r="B99" s="46"/>
      <c r="C99" s="44"/>
      <c r="D99" s="44"/>
      <c r="E99" s="45">
        <v>0</v>
      </c>
      <c r="F99" s="42">
        <v>18</v>
      </c>
      <c r="G99" s="56">
        <f t="shared" si="8"/>
        <v>0</v>
      </c>
      <c r="H99" s="56">
        <f t="shared" si="9"/>
        <v>0</v>
      </c>
      <c r="I99" s="56">
        <f t="shared" si="10"/>
        <v>0</v>
      </c>
      <c r="J99" s="57">
        <f t="shared" si="11"/>
        <v>0</v>
      </c>
    </row>
    <row r="100" spans="1:10" x14ac:dyDescent="0.25">
      <c r="A100" s="59"/>
      <c r="B100" s="46"/>
      <c r="C100" s="44"/>
      <c r="D100" s="44"/>
      <c r="E100" s="45">
        <v>0</v>
      </c>
      <c r="F100" s="42">
        <v>18</v>
      </c>
      <c r="G100" s="56">
        <f t="shared" si="8"/>
        <v>0</v>
      </c>
      <c r="H100" s="56">
        <f t="shared" si="9"/>
        <v>0</v>
      </c>
      <c r="I100" s="56">
        <f t="shared" si="10"/>
        <v>0</v>
      </c>
      <c r="J100" s="57">
        <f t="shared" si="11"/>
        <v>0</v>
      </c>
    </row>
    <row r="101" spans="1:10" x14ac:dyDescent="0.25">
      <c r="A101" s="59"/>
      <c r="B101" s="46"/>
      <c r="C101" s="44"/>
      <c r="D101" s="44"/>
      <c r="E101" s="45">
        <v>0</v>
      </c>
      <c r="F101" s="42">
        <v>18</v>
      </c>
      <c r="G101" s="56">
        <f t="shared" si="8"/>
        <v>0</v>
      </c>
      <c r="H101" s="56">
        <f t="shared" si="9"/>
        <v>0</v>
      </c>
      <c r="I101" s="56">
        <f t="shared" si="10"/>
        <v>0</v>
      </c>
      <c r="J101" s="57">
        <f t="shared" si="11"/>
        <v>0</v>
      </c>
    </row>
    <row r="102" spans="1:10" x14ac:dyDescent="0.25">
      <c r="A102" s="59"/>
      <c r="B102" s="46"/>
      <c r="C102" s="44"/>
      <c r="D102" s="44"/>
      <c r="E102" s="45">
        <v>0</v>
      </c>
      <c r="F102" s="42">
        <v>18</v>
      </c>
      <c r="G102" s="56">
        <f t="shared" si="8"/>
        <v>0</v>
      </c>
      <c r="H102" s="56">
        <f t="shared" si="9"/>
        <v>0</v>
      </c>
      <c r="I102" s="56">
        <f t="shared" si="10"/>
        <v>0</v>
      </c>
      <c r="J102" s="57">
        <f t="shared" si="11"/>
        <v>0</v>
      </c>
    </row>
    <row r="103" spans="1:10" x14ac:dyDescent="0.25">
      <c r="A103" s="59"/>
      <c r="B103" s="46"/>
      <c r="C103" s="44"/>
      <c r="D103" s="44"/>
      <c r="E103" s="45">
        <v>0</v>
      </c>
      <c r="F103" s="42">
        <v>18</v>
      </c>
      <c r="G103" s="56">
        <f t="shared" si="8"/>
        <v>0</v>
      </c>
      <c r="H103" s="56">
        <f t="shared" si="9"/>
        <v>0</v>
      </c>
      <c r="I103" s="56">
        <f t="shared" si="10"/>
        <v>0</v>
      </c>
      <c r="J103" s="57">
        <f t="shared" si="11"/>
        <v>0</v>
      </c>
    </row>
    <row r="104" spans="1:10" x14ac:dyDescent="0.25">
      <c r="A104" s="59"/>
      <c r="B104" s="46"/>
      <c r="C104" s="44"/>
      <c r="D104" s="44"/>
      <c r="E104" s="45">
        <v>0</v>
      </c>
      <c r="F104" s="42">
        <v>18</v>
      </c>
      <c r="G104" s="56">
        <f t="shared" si="8"/>
        <v>0</v>
      </c>
      <c r="H104" s="56">
        <f t="shared" si="9"/>
        <v>0</v>
      </c>
      <c r="I104" s="56">
        <f t="shared" si="10"/>
        <v>0</v>
      </c>
      <c r="J104" s="57">
        <f t="shared" si="11"/>
        <v>0</v>
      </c>
    </row>
    <row r="105" spans="1:10" x14ac:dyDescent="0.25">
      <c r="A105" s="59"/>
      <c r="B105" s="46"/>
      <c r="C105" s="44"/>
      <c r="D105" s="44"/>
      <c r="E105" s="45">
        <v>0</v>
      </c>
      <c r="F105" s="42">
        <v>18</v>
      </c>
      <c r="G105" s="56">
        <f t="shared" si="8"/>
        <v>0</v>
      </c>
      <c r="H105" s="56">
        <f t="shared" si="9"/>
        <v>0</v>
      </c>
      <c r="I105" s="56">
        <f t="shared" si="10"/>
        <v>0</v>
      </c>
      <c r="J105" s="57">
        <f t="shared" si="11"/>
        <v>0</v>
      </c>
    </row>
    <row r="106" spans="1:10" x14ac:dyDescent="0.25">
      <c r="A106" s="59"/>
      <c r="B106" s="46"/>
      <c r="C106" s="44"/>
      <c r="D106" s="44"/>
      <c r="E106" s="45">
        <v>0</v>
      </c>
      <c r="F106" s="42">
        <v>18</v>
      </c>
      <c r="G106" s="56">
        <f t="shared" si="8"/>
        <v>0</v>
      </c>
      <c r="H106" s="56">
        <f t="shared" si="9"/>
        <v>0</v>
      </c>
      <c r="I106" s="56">
        <f t="shared" si="10"/>
        <v>0</v>
      </c>
      <c r="J106" s="57">
        <f t="shared" si="11"/>
        <v>0</v>
      </c>
    </row>
    <row r="107" spans="1:10" x14ac:dyDescent="0.25">
      <c r="A107" s="59"/>
      <c r="B107" s="46"/>
      <c r="C107" s="44"/>
      <c r="D107" s="44"/>
      <c r="E107" s="45">
        <v>0</v>
      </c>
      <c r="F107" s="42">
        <v>18</v>
      </c>
      <c r="G107" s="56">
        <f t="shared" si="8"/>
        <v>0</v>
      </c>
      <c r="H107" s="56">
        <f t="shared" si="9"/>
        <v>0</v>
      </c>
      <c r="I107" s="56">
        <f t="shared" si="10"/>
        <v>0</v>
      </c>
      <c r="J107" s="57">
        <f t="shared" si="11"/>
        <v>0</v>
      </c>
    </row>
    <row r="108" spans="1:10" x14ac:dyDescent="0.25">
      <c r="A108" s="59"/>
      <c r="B108" s="46"/>
      <c r="C108" s="44"/>
      <c r="D108" s="44"/>
      <c r="E108" s="45">
        <v>0</v>
      </c>
      <c r="F108" s="42">
        <v>18</v>
      </c>
      <c r="G108" s="56">
        <f t="shared" si="8"/>
        <v>0</v>
      </c>
      <c r="H108" s="56">
        <f t="shared" si="9"/>
        <v>0</v>
      </c>
      <c r="I108" s="56">
        <f t="shared" si="10"/>
        <v>0</v>
      </c>
      <c r="J108" s="57">
        <f t="shared" si="11"/>
        <v>0</v>
      </c>
    </row>
    <row r="109" spans="1:10" x14ac:dyDescent="0.25">
      <c r="A109" s="59"/>
      <c r="B109" s="46"/>
      <c r="C109" s="44"/>
      <c r="D109" s="44"/>
      <c r="E109" s="45">
        <v>0</v>
      </c>
      <c r="F109" s="42">
        <v>18</v>
      </c>
      <c r="G109" s="56">
        <f t="shared" si="8"/>
        <v>0</v>
      </c>
      <c r="H109" s="56">
        <f t="shared" si="9"/>
        <v>0</v>
      </c>
      <c r="I109" s="56">
        <f t="shared" si="10"/>
        <v>0</v>
      </c>
      <c r="J109" s="57">
        <f t="shared" si="11"/>
        <v>0</v>
      </c>
    </row>
    <row r="110" spans="1:10" x14ac:dyDescent="0.25">
      <c r="A110" s="59"/>
      <c r="B110" s="46"/>
      <c r="C110" s="44"/>
      <c r="D110" s="44"/>
      <c r="E110" s="45">
        <v>0</v>
      </c>
      <c r="F110" s="42">
        <v>18</v>
      </c>
      <c r="G110" s="56">
        <f t="shared" si="8"/>
        <v>0</v>
      </c>
      <c r="H110" s="56">
        <f t="shared" si="9"/>
        <v>0</v>
      </c>
      <c r="I110" s="56">
        <f t="shared" si="10"/>
        <v>0</v>
      </c>
      <c r="J110" s="57">
        <f t="shared" si="11"/>
        <v>0</v>
      </c>
    </row>
    <row r="111" spans="1:10" x14ac:dyDescent="0.25">
      <c r="A111" s="59"/>
      <c r="B111" s="46"/>
      <c r="C111" s="44"/>
      <c r="D111" s="44"/>
      <c r="E111" s="45">
        <v>0</v>
      </c>
      <c r="F111" s="42">
        <v>18</v>
      </c>
      <c r="G111" s="56">
        <f t="shared" si="8"/>
        <v>0</v>
      </c>
      <c r="H111" s="56">
        <f t="shared" si="9"/>
        <v>0</v>
      </c>
      <c r="I111" s="56">
        <f t="shared" si="10"/>
        <v>0</v>
      </c>
      <c r="J111" s="57">
        <f t="shared" si="11"/>
        <v>0</v>
      </c>
    </row>
    <row r="112" spans="1:10" x14ac:dyDescent="0.25">
      <c r="A112" s="59"/>
      <c r="B112" s="46"/>
      <c r="C112" s="44"/>
      <c r="D112" s="44"/>
      <c r="E112" s="45">
        <v>0</v>
      </c>
      <c r="F112" s="42">
        <v>18</v>
      </c>
      <c r="G112" s="56">
        <f t="shared" si="8"/>
        <v>0</v>
      </c>
      <c r="H112" s="56">
        <f t="shared" si="9"/>
        <v>0</v>
      </c>
      <c r="I112" s="56">
        <f t="shared" si="10"/>
        <v>0</v>
      </c>
      <c r="J112" s="57">
        <f t="shared" si="11"/>
        <v>0</v>
      </c>
    </row>
    <row r="113" spans="1:10" x14ac:dyDescent="0.25">
      <c r="A113" s="59"/>
      <c r="B113" s="46"/>
      <c r="C113" s="44"/>
      <c r="D113" s="44"/>
      <c r="E113" s="45">
        <v>0</v>
      </c>
      <c r="F113" s="42">
        <v>18</v>
      </c>
      <c r="G113" s="56">
        <f t="shared" si="8"/>
        <v>0</v>
      </c>
      <c r="H113" s="56">
        <f t="shared" si="9"/>
        <v>0</v>
      </c>
      <c r="I113" s="56">
        <f t="shared" si="10"/>
        <v>0</v>
      </c>
      <c r="J113" s="57">
        <f t="shared" si="11"/>
        <v>0</v>
      </c>
    </row>
    <row r="114" spans="1:10" x14ac:dyDescent="0.25">
      <c r="A114" s="59"/>
      <c r="B114" s="46"/>
      <c r="C114" s="44"/>
      <c r="D114" s="44"/>
      <c r="E114" s="45">
        <v>0</v>
      </c>
      <c r="F114" s="42">
        <v>18</v>
      </c>
      <c r="G114" s="56">
        <f t="shared" si="8"/>
        <v>0</v>
      </c>
      <c r="H114" s="56">
        <f t="shared" si="9"/>
        <v>0</v>
      </c>
      <c r="I114" s="56">
        <f t="shared" si="10"/>
        <v>0</v>
      </c>
      <c r="J114" s="57">
        <f t="shared" si="11"/>
        <v>0</v>
      </c>
    </row>
    <row r="115" spans="1:10" x14ac:dyDescent="0.25">
      <c r="A115" s="59"/>
      <c r="B115" s="46"/>
      <c r="C115" s="44"/>
      <c r="D115" s="44"/>
      <c r="E115" s="45">
        <v>0</v>
      </c>
      <c r="F115" s="42">
        <v>18</v>
      </c>
      <c r="G115" s="56">
        <f t="shared" si="8"/>
        <v>0</v>
      </c>
      <c r="H115" s="56">
        <f t="shared" si="9"/>
        <v>0</v>
      </c>
      <c r="I115" s="56">
        <f t="shared" si="10"/>
        <v>0</v>
      </c>
      <c r="J115" s="57">
        <f t="shared" si="11"/>
        <v>0</v>
      </c>
    </row>
    <row r="116" spans="1:10" x14ac:dyDescent="0.25">
      <c r="A116" s="59"/>
      <c r="B116" s="46"/>
      <c r="C116" s="44"/>
      <c r="D116" s="44"/>
      <c r="E116" s="45">
        <v>0</v>
      </c>
      <c r="F116" s="42">
        <v>18</v>
      </c>
      <c r="G116" s="56">
        <f t="shared" si="8"/>
        <v>0</v>
      </c>
      <c r="H116" s="56">
        <f t="shared" si="9"/>
        <v>0</v>
      </c>
      <c r="I116" s="56">
        <f t="shared" si="10"/>
        <v>0</v>
      </c>
      <c r="J116" s="57">
        <f t="shared" si="11"/>
        <v>0</v>
      </c>
    </row>
    <row r="117" spans="1:10" x14ac:dyDescent="0.25">
      <c r="A117" s="59"/>
      <c r="B117" s="46"/>
      <c r="C117" s="44"/>
      <c r="D117" s="44"/>
      <c r="E117" s="45">
        <v>0</v>
      </c>
      <c r="F117" s="42">
        <v>18</v>
      </c>
      <c r="G117" s="56">
        <f t="shared" si="8"/>
        <v>0</v>
      </c>
      <c r="H117" s="56">
        <f t="shared" si="9"/>
        <v>0</v>
      </c>
      <c r="I117" s="56">
        <f t="shared" si="10"/>
        <v>0</v>
      </c>
      <c r="J117" s="57">
        <f t="shared" si="11"/>
        <v>0</v>
      </c>
    </row>
    <row r="118" spans="1:10" x14ac:dyDescent="0.25">
      <c r="A118" s="59"/>
      <c r="B118" s="46"/>
      <c r="C118" s="44"/>
      <c r="D118" s="44"/>
      <c r="E118" s="45">
        <v>0</v>
      </c>
      <c r="F118" s="42">
        <v>18</v>
      </c>
      <c r="G118" s="56">
        <f t="shared" si="8"/>
        <v>0</v>
      </c>
      <c r="H118" s="56">
        <f t="shared" si="9"/>
        <v>0</v>
      </c>
      <c r="I118" s="56">
        <f t="shared" si="10"/>
        <v>0</v>
      </c>
      <c r="J118" s="57">
        <f t="shared" si="11"/>
        <v>0</v>
      </c>
    </row>
    <row r="119" spans="1:10" x14ac:dyDescent="0.25">
      <c r="A119" s="59"/>
      <c r="B119" s="46"/>
      <c r="C119" s="44"/>
      <c r="D119" s="44"/>
      <c r="E119" s="45">
        <v>0</v>
      </c>
      <c r="F119" s="42">
        <v>18</v>
      </c>
      <c r="G119" s="56">
        <f t="shared" si="8"/>
        <v>0</v>
      </c>
      <c r="H119" s="56">
        <f t="shared" si="9"/>
        <v>0</v>
      </c>
      <c r="I119" s="56">
        <f t="shared" si="10"/>
        <v>0</v>
      </c>
      <c r="J119" s="57">
        <f t="shared" si="11"/>
        <v>0</v>
      </c>
    </row>
    <row r="120" spans="1:10" x14ac:dyDescent="0.25">
      <c r="A120" s="59"/>
      <c r="B120" s="46"/>
      <c r="C120" s="44"/>
      <c r="D120" s="44"/>
      <c r="E120" s="45">
        <v>0</v>
      </c>
      <c r="F120" s="42">
        <v>18</v>
      </c>
      <c r="G120" s="56">
        <f t="shared" si="8"/>
        <v>0</v>
      </c>
      <c r="H120" s="56">
        <f t="shared" si="9"/>
        <v>0</v>
      </c>
      <c r="I120" s="56">
        <f t="shared" si="10"/>
        <v>0</v>
      </c>
      <c r="J120" s="57">
        <f t="shared" si="11"/>
        <v>0</v>
      </c>
    </row>
    <row r="121" spans="1:10" x14ac:dyDescent="0.25">
      <c r="A121" s="59"/>
      <c r="B121" s="46"/>
      <c r="C121" s="44"/>
      <c r="D121" s="44"/>
      <c r="E121" s="45">
        <v>0</v>
      </c>
      <c r="F121" s="42">
        <v>18</v>
      </c>
      <c r="G121" s="56">
        <f t="shared" si="8"/>
        <v>0</v>
      </c>
      <c r="H121" s="56">
        <f t="shared" si="9"/>
        <v>0</v>
      </c>
      <c r="I121" s="56">
        <f t="shared" si="10"/>
        <v>0</v>
      </c>
      <c r="J121" s="57">
        <f t="shared" si="11"/>
        <v>0</v>
      </c>
    </row>
    <row r="122" spans="1:10" x14ac:dyDescent="0.25">
      <c r="A122" s="59"/>
      <c r="B122" s="46"/>
      <c r="C122" s="44"/>
      <c r="D122" s="44"/>
      <c r="E122" s="45">
        <v>0</v>
      </c>
      <c r="F122" s="42">
        <v>18</v>
      </c>
      <c r="G122" s="56">
        <f t="shared" si="8"/>
        <v>0</v>
      </c>
      <c r="H122" s="56">
        <f t="shared" si="9"/>
        <v>0</v>
      </c>
      <c r="I122" s="56">
        <f t="shared" si="10"/>
        <v>0</v>
      </c>
      <c r="J122" s="57">
        <f t="shared" si="11"/>
        <v>0</v>
      </c>
    </row>
    <row r="123" spans="1:10" x14ac:dyDescent="0.25">
      <c r="A123" s="59"/>
      <c r="B123" s="46"/>
      <c r="C123" s="44"/>
      <c r="D123" s="44"/>
      <c r="E123" s="45">
        <v>0</v>
      </c>
      <c r="F123" s="42">
        <v>18</v>
      </c>
      <c r="G123" s="56">
        <f t="shared" si="8"/>
        <v>0</v>
      </c>
      <c r="H123" s="56">
        <f t="shared" si="9"/>
        <v>0</v>
      </c>
      <c r="I123" s="56">
        <f t="shared" si="10"/>
        <v>0</v>
      </c>
      <c r="J123" s="57">
        <f t="shared" si="11"/>
        <v>0</v>
      </c>
    </row>
    <row r="124" spans="1:10" x14ac:dyDescent="0.25">
      <c r="A124" s="59"/>
      <c r="B124" s="46"/>
      <c r="C124" s="44"/>
      <c r="D124" s="44"/>
      <c r="E124" s="45">
        <v>0</v>
      </c>
      <c r="F124" s="42">
        <v>18</v>
      </c>
      <c r="G124" s="56">
        <f t="shared" si="8"/>
        <v>0</v>
      </c>
      <c r="H124" s="56">
        <f t="shared" si="9"/>
        <v>0</v>
      </c>
      <c r="I124" s="56">
        <f t="shared" si="10"/>
        <v>0</v>
      </c>
      <c r="J124" s="57">
        <f t="shared" si="11"/>
        <v>0</v>
      </c>
    </row>
    <row r="125" spans="1:10" x14ac:dyDescent="0.25">
      <c r="A125" s="59"/>
      <c r="B125" s="46"/>
      <c r="C125" s="44"/>
      <c r="D125" s="44"/>
      <c r="E125" s="45">
        <v>0</v>
      </c>
      <c r="F125" s="42">
        <v>18</v>
      </c>
      <c r="G125" s="56">
        <f t="shared" si="8"/>
        <v>0</v>
      </c>
      <c r="H125" s="56">
        <f t="shared" si="9"/>
        <v>0</v>
      </c>
      <c r="I125" s="56">
        <f t="shared" si="10"/>
        <v>0</v>
      </c>
      <c r="J125" s="57">
        <f t="shared" si="11"/>
        <v>0</v>
      </c>
    </row>
    <row r="126" spans="1:10" x14ac:dyDescent="0.25">
      <c r="A126" s="59"/>
      <c r="B126" s="46"/>
      <c r="C126" s="44"/>
      <c r="D126" s="44"/>
      <c r="E126" s="45">
        <v>0</v>
      </c>
      <c r="F126" s="42">
        <v>18</v>
      </c>
      <c r="G126" s="56">
        <f t="shared" si="8"/>
        <v>0</v>
      </c>
      <c r="H126" s="56">
        <f t="shared" si="9"/>
        <v>0</v>
      </c>
      <c r="I126" s="56">
        <f t="shared" si="10"/>
        <v>0</v>
      </c>
      <c r="J126" s="57">
        <f t="shared" si="11"/>
        <v>0</v>
      </c>
    </row>
    <row r="127" spans="1:10" x14ac:dyDescent="0.25">
      <c r="A127" s="59"/>
      <c r="B127" s="46"/>
      <c r="C127" s="44"/>
      <c r="D127" s="44"/>
      <c r="E127" s="45">
        <v>0</v>
      </c>
      <c r="F127" s="42">
        <v>18</v>
      </c>
      <c r="G127" s="56">
        <f t="shared" si="8"/>
        <v>0</v>
      </c>
      <c r="H127" s="56">
        <f t="shared" si="9"/>
        <v>0</v>
      </c>
      <c r="I127" s="56">
        <f t="shared" si="10"/>
        <v>0</v>
      </c>
      <c r="J127" s="57">
        <f t="shared" si="11"/>
        <v>0</v>
      </c>
    </row>
    <row r="128" spans="1:10" x14ac:dyDescent="0.25">
      <c r="A128" s="59"/>
      <c r="B128" s="46"/>
      <c r="C128" s="44"/>
      <c r="D128" s="44"/>
      <c r="E128" s="45">
        <v>0</v>
      </c>
      <c r="F128" s="42">
        <v>18</v>
      </c>
      <c r="G128" s="56">
        <f t="shared" si="8"/>
        <v>0</v>
      </c>
      <c r="H128" s="56">
        <f t="shared" si="9"/>
        <v>0</v>
      </c>
      <c r="I128" s="56">
        <f t="shared" si="10"/>
        <v>0</v>
      </c>
      <c r="J128" s="57">
        <f t="shared" si="11"/>
        <v>0</v>
      </c>
    </row>
    <row r="129" spans="1:10" x14ac:dyDescent="0.25">
      <c r="A129" s="59"/>
      <c r="B129" s="46"/>
      <c r="C129" s="44"/>
      <c r="D129" s="44"/>
      <c r="E129" s="45">
        <v>0</v>
      </c>
      <c r="F129" s="42">
        <v>18</v>
      </c>
      <c r="G129" s="56">
        <f t="shared" si="8"/>
        <v>0</v>
      </c>
      <c r="H129" s="56">
        <f t="shared" si="9"/>
        <v>0</v>
      </c>
      <c r="I129" s="56">
        <f t="shared" si="10"/>
        <v>0</v>
      </c>
      <c r="J129" s="57">
        <f t="shared" si="11"/>
        <v>0</v>
      </c>
    </row>
    <row r="130" spans="1:10" x14ac:dyDescent="0.25">
      <c r="A130" s="59"/>
      <c r="B130" s="46"/>
      <c r="C130" s="44"/>
      <c r="D130" s="44"/>
      <c r="E130" s="45">
        <v>0</v>
      </c>
      <c r="F130" s="42">
        <v>18</v>
      </c>
      <c r="G130" s="56">
        <f t="shared" ref="G130:G175" si="12">ROUND((E130*F130%)/2,)</f>
        <v>0</v>
      </c>
      <c r="H130" s="56">
        <f t="shared" ref="H130:H175" si="13">G130</f>
        <v>0</v>
      </c>
      <c r="I130" s="56">
        <f t="shared" ref="I130:I175" si="14">G130+H130</f>
        <v>0</v>
      </c>
      <c r="J130" s="57">
        <f t="shared" ref="J130:J175" si="15">E130+I130</f>
        <v>0</v>
      </c>
    </row>
    <row r="131" spans="1:10" x14ac:dyDescent="0.25">
      <c r="A131" s="59"/>
      <c r="B131" s="46"/>
      <c r="C131" s="44"/>
      <c r="D131" s="44"/>
      <c r="E131" s="45">
        <v>0</v>
      </c>
      <c r="F131" s="42">
        <v>18</v>
      </c>
      <c r="G131" s="56">
        <f t="shared" si="12"/>
        <v>0</v>
      </c>
      <c r="H131" s="56">
        <f t="shared" si="13"/>
        <v>0</v>
      </c>
      <c r="I131" s="56">
        <f t="shared" si="14"/>
        <v>0</v>
      </c>
      <c r="J131" s="57">
        <f t="shared" si="15"/>
        <v>0</v>
      </c>
    </row>
    <row r="132" spans="1:10" x14ac:dyDescent="0.25">
      <c r="A132" s="59"/>
      <c r="B132" s="46"/>
      <c r="C132" s="44"/>
      <c r="D132" s="44"/>
      <c r="E132" s="45">
        <v>0</v>
      </c>
      <c r="F132" s="42">
        <v>18</v>
      </c>
      <c r="G132" s="56">
        <f t="shared" si="12"/>
        <v>0</v>
      </c>
      <c r="H132" s="56">
        <f t="shared" si="13"/>
        <v>0</v>
      </c>
      <c r="I132" s="56">
        <f t="shared" si="14"/>
        <v>0</v>
      </c>
      <c r="J132" s="57">
        <f t="shared" si="15"/>
        <v>0</v>
      </c>
    </row>
    <row r="133" spans="1:10" x14ac:dyDescent="0.25">
      <c r="A133" s="59"/>
      <c r="B133" s="46"/>
      <c r="C133" s="44"/>
      <c r="D133" s="44"/>
      <c r="E133" s="45">
        <v>0</v>
      </c>
      <c r="F133" s="42">
        <v>18</v>
      </c>
      <c r="G133" s="56">
        <f t="shared" si="12"/>
        <v>0</v>
      </c>
      <c r="H133" s="56">
        <f t="shared" si="13"/>
        <v>0</v>
      </c>
      <c r="I133" s="56">
        <f t="shared" si="14"/>
        <v>0</v>
      </c>
      <c r="J133" s="57">
        <f t="shared" si="15"/>
        <v>0</v>
      </c>
    </row>
    <row r="134" spans="1:10" x14ac:dyDescent="0.25">
      <c r="A134" s="59"/>
      <c r="B134" s="46"/>
      <c r="C134" s="44"/>
      <c r="D134" s="44"/>
      <c r="E134" s="45">
        <v>0</v>
      </c>
      <c r="F134" s="42">
        <v>18</v>
      </c>
      <c r="G134" s="56">
        <f t="shared" si="12"/>
        <v>0</v>
      </c>
      <c r="H134" s="56">
        <f t="shared" si="13"/>
        <v>0</v>
      </c>
      <c r="I134" s="56">
        <f t="shared" si="14"/>
        <v>0</v>
      </c>
      <c r="J134" s="57">
        <f t="shared" si="15"/>
        <v>0</v>
      </c>
    </row>
    <row r="135" spans="1:10" x14ac:dyDescent="0.25">
      <c r="A135" s="59"/>
      <c r="B135" s="46"/>
      <c r="C135" s="44"/>
      <c r="D135" s="44"/>
      <c r="E135" s="45">
        <v>0</v>
      </c>
      <c r="F135" s="42">
        <v>18</v>
      </c>
      <c r="G135" s="56">
        <f t="shared" si="12"/>
        <v>0</v>
      </c>
      <c r="H135" s="56">
        <f t="shared" si="13"/>
        <v>0</v>
      </c>
      <c r="I135" s="56">
        <f t="shared" si="14"/>
        <v>0</v>
      </c>
      <c r="J135" s="57">
        <f t="shared" si="15"/>
        <v>0</v>
      </c>
    </row>
    <row r="136" spans="1:10" x14ac:dyDescent="0.25">
      <c r="A136" s="59"/>
      <c r="B136" s="46"/>
      <c r="C136" s="44"/>
      <c r="D136" s="44"/>
      <c r="E136" s="45">
        <v>0</v>
      </c>
      <c r="F136" s="42">
        <v>18</v>
      </c>
      <c r="G136" s="56">
        <f t="shared" si="12"/>
        <v>0</v>
      </c>
      <c r="H136" s="56">
        <f t="shared" si="13"/>
        <v>0</v>
      </c>
      <c r="I136" s="56">
        <f t="shared" si="14"/>
        <v>0</v>
      </c>
      <c r="J136" s="57">
        <f t="shared" si="15"/>
        <v>0</v>
      </c>
    </row>
    <row r="137" spans="1:10" x14ac:dyDescent="0.25">
      <c r="A137" s="59"/>
      <c r="B137" s="46"/>
      <c r="C137" s="44"/>
      <c r="D137" s="44"/>
      <c r="E137" s="45">
        <v>0</v>
      </c>
      <c r="F137" s="42">
        <v>18</v>
      </c>
      <c r="G137" s="56">
        <f t="shared" si="12"/>
        <v>0</v>
      </c>
      <c r="H137" s="56">
        <f t="shared" si="13"/>
        <v>0</v>
      </c>
      <c r="I137" s="56">
        <f t="shared" si="14"/>
        <v>0</v>
      </c>
      <c r="J137" s="57">
        <f t="shared" si="15"/>
        <v>0</v>
      </c>
    </row>
    <row r="138" spans="1:10" x14ac:dyDescent="0.25">
      <c r="A138" s="59"/>
      <c r="B138" s="46"/>
      <c r="C138" s="44"/>
      <c r="D138" s="44"/>
      <c r="E138" s="45">
        <v>0</v>
      </c>
      <c r="F138" s="42">
        <v>18</v>
      </c>
      <c r="G138" s="56">
        <f t="shared" si="12"/>
        <v>0</v>
      </c>
      <c r="H138" s="56">
        <f t="shared" si="13"/>
        <v>0</v>
      </c>
      <c r="I138" s="56">
        <f t="shared" si="14"/>
        <v>0</v>
      </c>
      <c r="J138" s="57">
        <f t="shared" si="15"/>
        <v>0</v>
      </c>
    </row>
    <row r="139" spans="1:10" x14ac:dyDescent="0.25">
      <c r="A139" s="59"/>
      <c r="B139" s="46"/>
      <c r="C139" s="44"/>
      <c r="D139" s="44"/>
      <c r="E139" s="45">
        <v>0</v>
      </c>
      <c r="F139" s="42">
        <v>18</v>
      </c>
      <c r="G139" s="56">
        <f t="shared" si="12"/>
        <v>0</v>
      </c>
      <c r="H139" s="56">
        <f t="shared" si="13"/>
        <v>0</v>
      </c>
      <c r="I139" s="56">
        <f t="shared" si="14"/>
        <v>0</v>
      </c>
      <c r="J139" s="57">
        <f t="shared" si="15"/>
        <v>0</v>
      </c>
    </row>
    <row r="140" spans="1:10" x14ac:dyDescent="0.25">
      <c r="A140" s="59"/>
      <c r="B140" s="46"/>
      <c r="C140" s="44"/>
      <c r="D140" s="44"/>
      <c r="E140" s="45">
        <v>0</v>
      </c>
      <c r="F140" s="42">
        <v>18</v>
      </c>
      <c r="G140" s="56">
        <f t="shared" si="12"/>
        <v>0</v>
      </c>
      <c r="H140" s="56">
        <f t="shared" si="13"/>
        <v>0</v>
      </c>
      <c r="I140" s="56">
        <f t="shared" si="14"/>
        <v>0</v>
      </c>
      <c r="J140" s="57">
        <f t="shared" si="15"/>
        <v>0</v>
      </c>
    </row>
    <row r="141" spans="1:10" x14ac:dyDescent="0.25">
      <c r="A141" s="59"/>
      <c r="B141" s="46"/>
      <c r="C141" s="44"/>
      <c r="D141" s="44"/>
      <c r="E141" s="45">
        <v>0</v>
      </c>
      <c r="F141" s="42">
        <v>18</v>
      </c>
      <c r="G141" s="56">
        <f t="shared" si="12"/>
        <v>0</v>
      </c>
      <c r="H141" s="56">
        <f t="shared" si="13"/>
        <v>0</v>
      </c>
      <c r="I141" s="56">
        <f t="shared" si="14"/>
        <v>0</v>
      </c>
      <c r="J141" s="57">
        <f t="shared" si="15"/>
        <v>0</v>
      </c>
    </row>
    <row r="142" spans="1:10" x14ac:dyDescent="0.25">
      <c r="A142" s="59"/>
      <c r="B142" s="46"/>
      <c r="C142" s="44"/>
      <c r="D142" s="44"/>
      <c r="E142" s="45">
        <v>0</v>
      </c>
      <c r="F142" s="42">
        <v>18</v>
      </c>
      <c r="G142" s="56">
        <f t="shared" si="12"/>
        <v>0</v>
      </c>
      <c r="H142" s="56">
        <f t="shared" si="13"/>
        <v>0</v>
      </c>
      <c r="I142" s="56">
        <f t="shared" si="14"/>
        <v>0</v>
      </c>
      <c r="J142" s="57">
        <f t="shared" si="15"/>
        <v>0</v>
      </c>
    </row>
    <row r="143" spans="1:10" x14ac:dyDescent="0.25">
      <c r="A143" s="59"/>
      <c r="B143" s="46"/>
      <c r="C143" s="44"/>
      <c r="D143" s="44"/>
      <c r="E143" s="45">
        <v>0</v>
      </c>
      <c r="F143" s="42">
        <v>18</v>
      </c>
      <c r="G143" s="56">
        <f t="shared" si="12"/>
        <v>0</v>
      </c>
      <c r="H143" s="56">
        <f t="shared" si="13"/>
        <v>0</v>
      </c>
      <c r="I143" s="56">
        <f t="shared" si="14"/>
        <v>0</v>
      </c>
      <c r="J143" s="57">
        <f t="shared" si="15"/>
        <v>0</v>
      </c>
    </row>
    <row r="144" spans="1:10" x14ac:dyDescent="0.25">
      <c r="A144" s="59"/>
      <c r="B144" s="46"/>
      <c r="C144" s="44"/>
      <c r="D144" s="44"/>
      <c r="E144" s="45">
        <v>0</v>
      </c>
      <c r="F144" s="42">
        <v>18</v>
      </c>
      <c r="G144" s="56">
        <f t="shared" si="12"/>
        <v>0</v>
      </c>
      <c r="H144" s="56">
        <f t="shared" si="13"/>
        <v>0</v>
      </c>
      <c r="I144" s="56">
        <f t="shared" si="14"/>
        <v>0</v>
      </c>
      <c r="J144" s="57">
        <f t="shared" si="15"/>
        <v>0</v>
      </c>
    </row>
    <row r="145" spans="1:10" x14ac:dyDescent="0.25">
      <c r="A145" s="59"/>
      <c r="B145" s="46"/>
      <c r="C145" s="44"/>
      <c r="D145" s="44"/>
      <c r="E145" s="45">
        <v>0</v>
      </c>
      <c r="F145" s="42">
        <v>18</v>
      </c>
      <c r="G145" s="56">
        <f t="shared" si="12"/>
        <v>0</v>
      </c>
      <c r="H145" s="56">
        <f t="shared" si="13"/>
        <v>0</v>
      </c>
      <c r="I145" s="56">
        <f t="shared" si="14"/>
        <v>0</v>
      </c>
      <c r="J145" s="57">
        <f t="shared" si="15"/>
        <v>0</v>
      </c>
    </row>
    <row r="146" spans="1:10" x14ac:dyDescent="0.25">
      <c r="A146" s="59"/>
      <c r="B146" s="46"/>
      <c r="C146" s="44"/>
      <c r="D146" s="44"/>
      <c r="E146" s="45">
        <v>0</v>
      </c>
      <c r="F146" s="42">
        <v>18</v>
      </c>
      <c r="G146" s="56">
        <f t="shared" si="12"/>
        <v>0</v>
      </c>
      <c r="H146" s="56">
        <f t="shared" si="13"/>
        <v>0</v>
      </c>
      <c r="I146" s="56">
        <f t="shared" si="14"/>
        <v>0</v>
      </c>
      <c r="J146" s="57">
        <f t="shared" si="15"/>
        <v>0</v>
      </c>
    </row>
    <row r="147" spans="1:10" x14ac:dyDescent="0.25">
      <c r="A147" s="59"/>
      <c r="B147" s="46"/>
      <c r="C147" s="44"/>
      <c r="D147" s="44"/>
      <c r="E147" s="45">
        <v>0</v>
      </c>
      <c r="F147" s="42">
        <v>18</v>
      </c>
      <c r="G147" s="56">
        <f t="shared" si="12"/>
        <v>0</v>
      </c>
      <c r="H147" s="56">
        <f t="shared" si="13"/>
        <v>0</v>
      </c>
      <c r="I147" s="56">
        <f t="shared" si="14"/>
        <v>0</v>
      </c>
      <c r="J147" s="57">
        <f t="shared" si="15"/>
        <v>0</v>
      </c>
    </row>
    <row r="148" spans="1:10" x14ac:dyDescent="0.25">
      <c r="A148" s="59"/>
      <c r="B148" s="46"/>
      <c r="C148" s="44"/>
      <c r="D148" s="44"/>
      <c r="E148" s="45">
        <v>0</v>
      </c>
      <c r="F148" s="42">
        <v>18</v>
      </c>
      <c r="G148" s="56">
        <f t="shared" si="12"/>
        <v>0</v>
      </c>
      <c r="H148" s="56">
        <f t="shared" si="13"/>
        <v>0</v>
      </c>
      <c r="I148" s="56">
        <f t="shared" si="14"/>
        <v>0</v>
      </c>
      <c r="J148" s="57">
        <f t="shared" si="15"/>
        <v>0</v>
      </c>
    </row>
    <row r="149" spans="1:10" x14ac:dyDescent="0.25">
      <c r="A149" s="59"/>
      <c r="B149" s="46"/>
      <c r="C149" s="44"/>
      <c r="D149" s="44"/>
      <c r="E149" s="45">
        <v>0</v>
      </c>
      <c r="F149" s="42">
        <v>18</v>
      </c>
      <c r="G149" s="56">
        <f t="shared" si="12"/>
        <v>0</v>
      </c>
      <c r="H149" s="56">
        <f t="shared" si="13"/>
        <v>0</v>
      </c>
      <c r="I149" s="56">
        <f t="shared" si="14"/>
        <v>0</v>
      </c>
      <c r="J149" s="57">
        <f t="shared" si="15"/>
        <v>0</v>
      </c>
    </row>
    <row r="150" spans="1:10" x14ac:dyDescent="0.25">
      <c r="A150" s="59"/>
      <c r="B150" s="46"/>
      <c r="C150" s="44"/>
      <c r="D150" s="44"/>
      <c r="E150" s="45">
        <v>0</v>
      </c>
      <c r="F150" s="42">
        <v>18</v>
      </c>
      <c r="G150" s="56">
        <f t="shared" si="12"/>
        <v>0</v>
      </c>
      <c r="H150" s="56">
        <f t="shared" si="13"/>
        <v>0</v>
      </c>
      <c r="I150" s="56">
        <f t="shared" si="14"/>
        <v>0</v>
      </c>
      <c r="J150" s="57">
        <f t="shared" si="15"/>
        <v>0</v>
      </c>
    </row>
    <row r="151" spans="1:10" x14ac:dyDescent="0.25">
      <c r="A151" s="59"/>
      <c r="B151" s="46"/>
      <c r="C151" s="44"/>
      <c r="D151" s="44"/>
      <c r="E151" s="45">
        <v>0</v>
      </c>
      <c r="F151" s="42">
        <v>18</v>
      </c>
      <c r="G151" s="56">
        <f t="shared" si="12"/>
        <v>0</v>
      </c>
      <c r="H151" s="56">
        <f t="shared" si="13"/>
        <v>0</v>
      </c>
      <c r="I151" s="56">
        <f t="shared" si="14"/>
        <v>0</v>
      </c>
      <c r="J151" s="57">
        <f t="shared" si="15"/>
        <v>0</v>
      </c>
    </row>
    <row r="152" spans="1:10" x14ac:dyDescent="0.25">
      <c r="A152" s="59"/>
      <c r="B152" s="46"/>
      <c r="C152" s="44"/>
      <c r="D152" s="44"/>
      <c r="E152" s="45">
        <v>0</v>
      </c>
      <c r="F152" s="42">
        <v>18</v>
      </c>
      <c r="G152" s="56">
        <f t="shared" si="12"/>
        <v>0</v>
      </c>
      <c r="H152" s="56">
        <f t="shared" si="13"/>
        <v>0</v>
      </c>
      <c r="I152" s="56">
        <f t="shared" si="14"/>
        <v>0</v>
      </c>
      <c r="J152" s="57">
        <f t="shared" si="15"/>
        <v>0</v>
      </c>
    </row>
    <row r="153" spans="1:10" x14ac:dyDescent="0.25">
      <c r="A153" s="59"/>
      <c r="B153" s="46"/>
      <c r="C153" s="44"/>
      <c r="D153" s="44"/>
      <c r="E153" s="45">
        <v>0</v>
      </c>
      <c r="F153" s="42">
        <v>18</v>
      </c>
      <c r="G153" s="56">
        <f t="shared" si="12"/>
        <v>0</v>
      </c>
      <c r="H153" s="56">
        <f t="shared" si="13"/>
        <v>0</v>
      </c>
      <c r="I153" s="56">
        <f t="shared" si="14"/>
        <v>0</v>
      </c>
      <c r="J153" s="57">
        <f t="shared" si="15"/>
        <v>0</v>
      </c>
    </row>
    <row r="154" spans="1:10" x14ac:dyDescent="0.25">
      <c r="A154" s="59"/>
      <c r="B154" s="46"/>
      <c r="C154" s="44"/>
      <c r="D154" s="44"/>
      <c r="E154" s="45">
        <v>0</v>
      </c>
      <c r="F154" s="42">
        <v>18</v>
      </c>
      <c r="G154" s="56">
        <f t="shared" si="12"/>
        <v>0</v>
      </c>
      <c r="H154" s="56">
        <f t="shared" si="13"/>
        <v>0</v>
      </c>
      <c r="I154" s="56">
        <f t="shared" si="14"/>
        <v>0</v>
      </c>
      <c r="J154" s="57">
        <f t="shared" si="15"/>
        <v>0</v>
      </c>
    </row>
    <row r="155" spans="1:10" x14ac:dyDescent="0.25">
      <c r="A155" s="59"/>
      <c r="B155" s="46"/>
      <c r="C155" s="44"/>
      <c r="D155" s="44"/>
      <c r="E155" s="45">
        <v>0</v>
      </c>
      <c r="F155" s="42">
        <v>18</v>
      </c>
      <c r="G155" s="56">
        <f t="shared" si="12"/>
        <v>0</v>
      </c>
      <c r="H155" s="56">
        <f t="shared" si="13"/>
        <v>0</v>
      </c>
      <c r="I155" s="56">
        <f t="shared" si="14"/>
        <v>0</v>
      </c>
      <c r="J155" s="57">
        <f t="shared" si="15"/>
        <v>0</v>
      </c>
    </row>
    <row r="156" spans="1:10" x14ac:dyDescent="0.25">
      <c r="A156" s="59"/>
      <c r="B156" s="46"/>
      <c r="C156" s="44"/>
      <c r="D156" s="44"/>
      <c r="E156" s="45">
        <v>0</v>
      </c>
      <c r="F156" s="42">
        <v>18</v>
      </c>
      <c r="G156" s="56">
        <f t="shared" si="12"/>
        <v>0</v>
      </c>
      <c r="H156" s="56">
        <f t="shared" si="13"/>
        <v>0</v>
      </c>
      <c r="I156" s="56">
        <f t="shared" si="14"/>
        <v>0</v>
      </c>
      <c r="J156" s="57">
        <f t="shared" si="15"/>
        <v>0</v>
      </c>
    </row>
    <row r="157" spans="1:10" x14ac:dyDescent="0.25">
      <c r="A157" s="59"/>
      <c r="B157" s="46"/>
      <c r="C157" s="44"/>
      <c r="D157" s="44"/>
      <c r="E157" s="45">
        <v>0</v>
      </c>
      <c r="F157" s="42">
        <v>18</v>
      </c>
      <c r="G157" s="56">
        <f t="shared" si="12"/>
        <v>0</v>
      </c>
      <c r="H157" s="56">
        <f t="shared" si="13"/>
        <v>0</v>
      </c>
      <c r="I157" s="56">
        <f t="shared" si="14"/>
        <v>0</v>
      </c>
      <c r="J157" s="57">
        <f t="shared" si="15"/>
        <v>0</v>
      </c>
    </row>
    <row r="158" spans="1:10" x14ac:dyDescent="0.25">
      <c r="A158" s="59"/>
      <c r="B158" s="46"/>
      <c r="C158" s="44"/>
      <c r="D158" s="44"/>
      <c r="E158" s="45">
        <v>0</v>
      </c>
      <c r="F158" s="42">
        <v>18</v>
      </c>
      <c r="G158" s="56">
        <f t="shared" si="12"/>
        <v>0</v>
      </c>
      <c r="H158" s="56">
        <f t="shared" si="13"/>
        <v>0</v>
      </c>
      <c r="I158" s="56">
        <f t="shared" si="14"/>
        <v>0</v>
      </c>
      <c r="J158" s="57">
        <f t="shared" si="15"/>
        <v>0</v>
      </c>
    </row>
    <row r="159" spans="1:10" x14ac:dyDescent="0.25">
      <c r="A159" s="59"/>
      <c r="B159" s="46"/>
      <c r="C159" s="44"/>
      <c r="D159" s="44"/>
      <c r="E159" s="45">
        <v>0</v>
      </c>
      <c r="F159" s="42">
        <v>18</v>
      </c>
      <c r="G159" s="56">
        <f t="shared" si="12"/>
        <v>0</v>
      </c>
      <c r="H159" s="56">
        <f t="shared" si="13"/>
        <v>0</v>
      </c>
      <c r="I159" s="56">
        <f t="shared" si="14"/>
        <v>0</v>
      </c>
      <c r="J159" s="57">
        <f t="shared" si="15"/>
        <v>0</v>
      </c>
    </row>
    <row r="160" spans="1:10" x14ac:dyDescent="0.25">
      <c r="A160" s="59"/>
      <c r="B160" s="46"/>
      <c r="C160" s="44"/>
      <c r="D160" s="44"/>
      <c r="E160" s="45">
        <v>0</v>
      </c>
      <c r="F160" s="42">
        <v>18</v>
      </c>
      <c r="G160" s="56">
        <f t="shared" si="12"/>
        <v>0</v>
      </c>
      <c r="H160" s="56">
        <f t="shared" si="13"/>
        <v>0</v>
      </c>
      <c r="I160" s="56">
        <f t="shared" si="14"/>
        <v>0</v>
      </c>
      <c r="J160" s="57">
        <f t="shared" si="15"/>
        <v>0</v>
      </c>
    </row>
    <row r="161" spans="1:10" x14ac:dyDescent="0.25">
      <c r="A161" s="59"/>
      <c r="B161" s="46"/>
      <c r="C161" s="44"/>
      <c r="D161" s="44"/>
      <c r="E161" s="45">
        <v>0</v>
      </c>
      <c r="F161" s="42">
        <v>18</v>
      </c>
      <c r="G161" s="56">
        <f t="shared" si="12"/>
        <v>0</v>
      </c>
      <c r="H161" s="56">
        <f t="shared" si="13"/>
        <v>0</v>
      </c>
      <c r="I161" s="56">
        <f t="shared" si="14"/>
        <v>0</v>
      </c>
      <c r="J161" s="57">
        <f t="shared" si="15"/>
        <v>0</v>
      </c>
    </row>
    <row r="162" spans="1:10" x14ac:dyDescent="0.25">
      <c r="A162" s="59"/>
      <c r="B162" s="46"/>
      <c r="C162" s="44"/>
      <c r="D162" s="44"/>
      <c r="E162" s="45">
        <v>0</v>
      </c>
      <c r="F162" s="42">
        <v>18</v>
      </c>
      <c r="G162" s="56">
        <f t="shared" si="12"/>
        <v>0</v>
      </c>
      <c r="H162" s="56">
        <f t="shared" si="13"/>
        <v>0</v>
      </c>
      <c r="I162" s="56">
        <f t="shared" si="14"/>
        <v>0</v>
      </c>
      <c r="J162" s="57">
        <f t="shared" si="15"/>
        <v>0</v>
      </c>
    </row>
    <row r="163" spans="1:10" x14ac:dyDescent="0.25">
      <c r="A163" s="59"/>
      <c r="B163" s="46"/>
      <c r="C163" s="44"/>
      <c r="D163" s="44"/>
      <c r="E163" s="45">
        <v>0</v>
      </c>
      <c r="F163" s="42">
        <v>18</v>
      </c>
      <c r="G163" s="56">
        <f t="shared" si="12"/>
        <v>0</v>
      </c>
      <c r="H163" s="56">
        <f t="shared" si="13"/>
        <v>0</v>
      </c>
      <c r="I163" s="56">
        <f t="shared" si="14"/>
        <v>0</v>
      </c>
      <c r="J163" s="57">
        <f t="shared" si="15"/>
        <v>0</v>
      </c>
    </row>
    <row r="164" spans="1:10" x14ac:dyDescent="0.25">
      <c r="A164" s="59"/>
      <c r="B164" s="46"/>
      <c r="C164" s="44"/>
      <c r="D164" s="44"/>
      <c r="E164" s="45">
        <v>0</v>
      </c>
      <c r="F164" s="42">
        <v>18</v>
      </c>
      <c r="G164" s="56">
        <f t="shared" si="12"/>
        <v>0</v>
      </c>
      <c r="H164" s="56">
        <f t="shared" si="13"/>
        <v>0</v>
      </c>
      <c r="I164" s="56">
        <f t="shared" si="14"/>
        <v>0</v>
      </c>
      <c r="J164" s="57">
        <f t="shared" si="15"/>
        <v>0</v>
      </c>
    </row>
    <row r="165" spans="1:10" x14ac:dyDescent="0.25">
      <c r="A165" s="59"/>
      <c r="B165" s="46"/>
      <c r="C165" s="44"/>
      <c r="D165" s="44"/>
      <c r="E165" s="45">
        <v>0</v>
      </c>
      <c r="F165" s="42">
        <v>18</v>
      </c>
      <c r="G165" s="56">
        <f t="shared" si="12"/>
        <v>0</v>
      </c>
      <c r="H165" s="56">
        <f t="shared" si="13"/>
        <v>0</v>
      </c>
      <c r="I165" s="56">
        <f t="shared" si="14"/>
        <v>0</v>
      </c>
      <c r="J165" s="57">
        <f t="shared" si="15"/>
        <v>0</v>
      </c>
    </row>
    <row r="166" spans="1:10" x14ac:dyDescent="0.25">
      <c r="A166" s="59"/>
      <c r="B166" s="46"/>
      <c r="C166" s="44"/>
      <c r="D166" s="44"/>
      <c r="E166" s="45">
        <v>0</v>
      </c>
      <c r="F166" s="42">
        <v>18</v>
      </c>
      <c r="G166" s="56">
        <f t="shared" si="12"/>
        <v>0</v>
      </c>
      <c r="H166" s="56">
        <f t="shared" si="13"/>
        <v>0</v>
      </c>
      <c r="I166" s="56">
        <f t="shared" si="14"/>
        <v>0</v>
      </c>
      <c r="J166" s="57">
        <f t="shared" si="15"/>
        <v>0</v>
      </c>
    </row>
    <row r="167" spans="1:10" x14ac:dyDescent="0.25">
      <c r="A167" s="59"/>
      <c r="B167" s="46"/>
      <c r="C167" s="44"/>
      <c r="D167" s="44"/>
      <c r="E167" s="45">
        <v>0</v>
      </c>
      <c r="F167" s="42">
        <v>18</v>
      </c>
      <c r="G167" s="56">
        <f t="shared" si="12"/>
        <v>0</v>
      </c>
      <c r="H167" s="56">
        <f t="shared" si="13"/>
        <v>0</v>
      </c>
      <c r="I167" s="56">
        <f t="shared" si="14"/>
        <v>0</v>
      </c>
      <c r="J167" s="57">
        <f t="shared" si="15"/>
        <v>0</v>
      </c>
    </row>
    <row r="168" spans="1:10" x14ac:dyDescent="0.25">
      <c r="A168" s="59"/>
      <c r="B168" s="46"/>
      <c r="C168" s="44"/>
      <c r="D168" s="44"/>
      <c r="E168" s="45">
        <v>0</v>
      </c>
      <c r="F168" s="42">
        <v>18</v>
      </c>
      <c r="G168" s="56">
        <f t="shared" si="12"/>
        <v>0</v>
      </c>
      <c r="H168" s="56">
        <f t="shared" si="13"/>
        <v>0</v>
      </c>
      <c r="I168" s="56">
        <f t="shared" si="14"/>
        <v>0</v>
      </c>
      <c r="J168" s="57">
        <f t="shared" si="15"/>
        <v>0</v>
      </c>
    </row>
    <row r="169" spans="1:10" x14ac:dyDescent="0.25">
      <c r="A169" s="59"/>
      <c r="B169" s="46"/>
      <c r="C169" s="44"/>
      <c r="D169" s="44"/>
      <c r="E169" s="45">
        <v>0</v>
      </c>
      <c r="F169" s="42">
        <v>18</v>
      </c>
      <c r="G169" s="56">
        <f t="shared" si="12"/>
        <v>0</v>
      </c>
      <c r="H169" s="56">
        <f t="shared" si="13"/>
        <v>0</v>
      </c>
      <c r="I169" s="56">
        <f t="shared" si="14"/>
        <v>0</v>
      </c>
      <c r="J169" s="57">
        <f t="shared" si="15"/>
        <v>0</v>
      </c>
    </row>
    <row r="170" spans="1:10" x14ac:dyDescent="0.25">
      <c r="A170" s="59"/>
      <c r="B170" s="46"/>
      <c r="C170" s="44"/>
      <c r="D170" s="44"/>
      <c r="E170" s="45">
        <v>0</v>
      </c>
      <c r="F170" s="42">
        <v>18</v>
      </c>
      <c r="G170" s="56">
        <f t="shared" si="12"/>
        <v>0</v>
      </c>
      <c r="H170" s="56">
        <f t="shared" si="13"/>
        <v>0</v>
      </c>
      <c r="I170" s="56">
        <f t="shared" si="14"/>
        <v>0</v>
      </c>
      <c r="J170" s="57">
        <f t="shared" si="15"/>
        <v>0</v>
      </c>
    </row>
    <row r="171" spans="1:10" x14ac:dyDescent="0.25">
      <c r="A171" s="59"/>
      <c r="B171" s="46"/>
      <c r="C171" s="44"/>
      <c r="D171" s="44"/>
      <c r="E171" s="45">
        <v>0</v>
      </c>
      <c r="F171" s="42">
        <v>18</v>
      </c>
      <c r="G171" s="56">
        <f t="shared" si="12"/>
        <v>0</v>
      </c>
      <c r="H171" s="56">
        <f t="shared" si="13"/>
        <v>0</v>
      </c>
      <c r="I171" s="56">
        <f t="shared" si="14"/>
        <v>0</v>
      </c>
      <c r="J171" s="57">
        <f t="shared" si="15"/>
        <v>0</v>
      </c>
    </row>
    <row r="172" spans="1:10" x14ac:dyDescent="0.25">
      <c r="A172" s="59"/>
      <c r="B172" s="46"/>
      <c r="C172" s="44"/>
      <c r="D172" s="44"/>
      <c r="E172" s="45">
        <v>0</v>
      </c>
      <c r="F172" s="42">
        <v>18</v>
      </c>
      <c r="G172" s="56">
        <f t="shared" si="12"/>
        <v>0</v>
      </c>
      <c r="H172" s="56">
        <f t="shared" si="13"/>
        <v>0</v>
      </c>
      <c r="I172" s="56">
        <f t="shared" si="14"/>
        <v>0</v>
      </c>
      <c r="J172" s="57">
        <f t="shared" si="15"/>
        <v>0</v>
      </c>
    </row>
    <row r="173" spans="1:10" x14ac:dyDescent="0.25">
      <c r="A173" s="59"/>
      <c r="B173" s="46"/>
      <c r="C173" s="44"/>
      <c r="D173" s="44"/>
      <c r="E173" s="45">
        <v>0</v>
      </c>
      <c r="F173" s="42">
        <v>18</v>
      </c>
      <c r="G173" s="56">
        <f t="shared" si="12"/>
        <v>0</v>
      </c>
      <c r="H173" s="56">
        <f t="shared" si="13"/>
        <v>0</v>
      </c>
      <c r="I173" s="56">
        <f t="shared" si="14"/>
        <v>0</v>
      </c>
      <c r="J173" s="57">
        <f t="shared" si="15"/>
        <v>0</v>
      </c>
    </row>
    <row r="174" spans="1:10" x14ac:dyDescent="0.25">
      <c r="A174" s="59"/>
      <c r="B174" s="46"/>
      <c r="C174" s="44"/>
      <c r="D174" s="44"/>
      <c r="E174" s="45">
        <v>0</v>
      </c>
      <c r="F174" s="42">
        <v>18</v>
      </c>
      <c r="G174" s="56">
        <f t="shared" si="12"/>
        <v>0</v>
      </c>
      <c r="H174" s="56">
        <f t="shared" si="13"/>
        <v>0</v>
      </c>
      <c r="I174" s="56">
        <f t="shared" si="14"/>
        <v>0</v>
      </c>
      <c r="J174" s="57">
        <f t="shared" si="15"/>
        <v>0</v>
      </c>
    </row>
    <row r="175" spans="1:10" x14ac:dyDescent="0.25">
      <c r="A175" s="59"/>
      <c r="B175" s="46"/>
      <c r="C175" s="44"/>
      <c r="D175" s="44"/>
      <c r="E175" s="45">
        <v>0</v>
      </c>
      <c r="F175" s="42">
        <v>18</v>
      </c>
      <c r="G175" s="56">
        <f t="shared" si="12"/>
        <v>0</v>
      </c>
      <c r="H175" s="56">
        <f t="shared" si="13"/>
        <v>0</v>
      </c>
      <c r="I175" s="56">
        <f t="shared" si="14"/>
        <v>0</v>
      </c>
      <c r="J175" s="57">
        <f t="shared" si="15"/>
        <v>0</v>
      </c>
    </row>
  </sheetData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175">
      <formula1>500</formula1>
    </dataValidation>
    <dataValidation type="custom" allowBlank="1" showInputMessage="1" showErrorMessage="1" error="Please enter Numeric value having length less than or equal to 16 including decimal points. Do not enter Special characters." sqref="F2:F175">
      <formula1>AG2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175">
      <formula1>AF2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2:D175">
      <formula1>AD2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6"/>
  <sheetViews>
    <sheetView topLeftCell="A4" workbookViewId="0">
      <selection activeCell="A23" sqref="A23:B23"/>
    </sheetView>
  </sheetViews>
  <sheetFormatPr defaultRowHeight="15" x14ac:dyDescent="0.25"/>
  <cols>
    <col min="1" max="1" width="17.140625" customWidth="1"/>
    <col min="2" max="2" width="38" customWidth="1"/>
    <col min="4" max="4" width="10.42578125" customWidth="1"/>
    <col min="5" max="5" width="11" customWidth="1"/>
    <col min="7" max="7" width="11.140625" customWidth="1"/>
    <col min="8" max="8" width="10.7109375" customWidth="1"/>
    <col min="9" max="9" width="11" customWidth="1"/>
    <col min="10" max="10" width="12.570312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109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>
        <v>0</v>
      </c>
      <c r="F3" s="42">
        <v>18</v>
      </c>
      <c r="G3" s="56">
        <f t="shared" ref="G3" si="0">ROUND((E3*F3%)/2,)</f>
        <v>0</v>
      </c>
      <c r="H3" s="56">
        <f t="shared" ref="H3" si="1">G3</f>
        <v>0</v>
      </c>
      <c r="I3" s="56">
        <f t="shared" ref="I3" si="2">G3+H3</f>
        <v>0</v>
      </c>
      <c r="J3" s="57">
        <f t="shared" ref="J3" si="3">E3+I3</f>
        <v>0</v>
      </c>
    </row>
    <row r="4" spans="1:10" x14ac:dyDescent="0.25">
      <c r="A4" s="59" t="s">
        <v>646</v>
      </c>
      <c r="B4" s="46" t="s">
        <v>647</v>
      </c>
      <c r="C4" s="44" t="s">
        <v>648</v>
      </c>
      <c r="D4" s="44" t="s">
        <v>649</v>
      </c>
      <c r="E4" s="45">
        <v>9200</v>
      </c>
      <c r="F4" s="42">
        <v>12</v>
      </c>
      <c r="G4" s="56">
        <f t="shared" ref="G4:G66" si="4">ROUND((E4*F4%)/2,)</f>
        <v>552</v>
      </c>
      <c r="H4" s="56">
        <f t="shared" ref="H4:H66" si="5">G4</f>
        <v>552</v>
      </c>
      <c r="I4" s="56">
        <f t="shared" ref="I4:I66" si="6">G4+H4</f>
        <v>1104</v>
      </c>
      <c r="J4" s="57">
        <f t="shared" ref="J4:J66" si="7">E4+I4</f>
        <v>10304</v>
      </c>
    </row>
    <row r="5" spans="1:10" x14ac:dyDescent="0.25">
      <c r="A5" s="59" t="s">
        <v>120</v>
      </c>
      <c r="B5" s="46" t="s">
        <v>650</v>
      </c>
      <c r="C5" s="44" t="s">
        <v>651</v>
      </c>
      <c r="D5" s="44" t="s">
        <v>652</v>
      </c>
      <c r="E5" s="45">
        <v>1370</v>
      </c>
      <c r="F5" s="42">
        <v>18</v>
      </c>
      <c r="G5" s="56">
        <f t="shared" si="4"/>
        <v>123</v>
      </c>
      <c r="H5" s="56">
        <f t="shared" si="5"/>
        <v>123</v>
      </c>
      <c r="I5" s="56">
        <f t="shared" si="6"/>
        <v>246</v>
      </c>
      <c r="J5" s="57">
        <f t="shared" si="7"/>
        <v>1616</v>
      </c>
    </row>
    <row r="6" spans="1:10" x14ac:dyDescent="0.25">
      <c r="A6" s="59"/>
      <c r="B6" s="46"/>
      <c r="C6" s="44"/>
      <c r="D6" s="44"/>
      <c r="E6" s="45">
        <v>0</v>
      </c>
      <c r="F6" s="42">
        <v>18</v>
      </c>
      <c r="G6" s="56">
        <f t="shared" si="4"/>
        <v>0</v>
      </c>
      <c r="H6" s="56">
        <f t="shared" si="5"/>
        <v>0</v>
      </c>
      <c r="I6" s="56">
        <f t="shared" si="6"/>
        <v>0</v>
      </c>
      <c r="J6" s="57">
        <f t="shared" si="7"/>
        <v>0</v>
      </c>
    </row>
    <row r="7" spans="1:10" x14ac:dyDescent="0.25">
      <c r="A7" s="59"/>
      <c r="B7" s="46"/>
      <c r="C7" s="44"/>
      <c r="D7" s="44"/>
      <c r="E7" s="45">
        <v>0</v>
      </c>
      <c r="F7" s="42">
        <v>18</v>
      </c>
      <c r="G7" s="56">
        <f t="shared" si="4"/>
        <v>0</v>
      </c>
      <c r="H7" s="56">
        <f t="shared" si="5"/>
        <v>0</v>
      </c>
      <c r="I7" s="56">
        <f t="shared" si="6"/>
        <v>0</v>
      </c>
      <c r="J7" s="57">
        <f t="shared" si="7"/>
        <v>0</v>
      </c>
    </row>
    <row r="8" spans="1:10" x14ac:dyDescent="0.25">
      <c r="A8" s="59"/>
      <c r="B8" s="58" t="s">
        <v>114</v>
      </c>
      <c r="C8" s="44"/>
      <c r="D8" s="44"/>
      <c r="E8" s="45">
        <v>0</v>
      </c>
      <c r="F8" s="42">
        <v>18</v>
      </c>
      <c r="G8" s="56">
        <f t="shared" si="4"/>
        <v>0</v>
      </c>
      <c r="H8" s="56">
        <f t="shared" si="5"/>
        <v>0</v>
      </c>
      <c r="I8" s="56">
        <f t="shared" si="6"/>
        <v>0</v>
      </c>
      <c r="J8" s="57">
        <f t="shared" si="7"/>
        <v>0</v>
      </c>
    </row>
    <row r="9" spans="1:10" x14ac:dyDescent="0.25">
      <c r="A9" s="59"/>
      <c r="B9" s="46"/>
      <c r="C9" s="44"/>
      <c r="D9" s="44"/>
      <c r="E9" s="45">
        <v>0</v>
      </c>
      <c r="F9" s="42">
        <v>18</v>
      </c>
      <c r="G9" s="56">
        <f t="shared" si="4"/>
        <v>0</v>
      </c>
      <c r="H9" s="56">
        <f t="shared" si="5"/>
        <v>0</v>
      </c>
      <c r="I9" s="56">
        <f t="shared" si="6"/>
        <v>0</v>
      </c>
      <c r="J9" s="57">
        <f t="shared" si="7"/>
        <v>0</v>
      </c>
    </row>
    <row r="10" spans="1:10" x14ac:dyDescent="0.25">
      <c r="A10" s="59" t="s">
        <v>306</v>
      </c>
      <c r="B10" s="46" t="s">
        <v>124</v>
      </c>
      <c r="C10" s="44" t="s">
        <v>653</v>
      </c>
      <c r="D10" s="44" t="s">
        <v>688</v>
      </c>
      <c r="E10" s="45">
        <v>1275</v>
      </c>
      <c r="F10" s="42">
        <v>18</v>
      </c>
      <c r="G10" s="56">
        <f t="shared" si="4"/>
        <v>115</v>
      </c>
      <c r="H10" s="56">
        <f t="shared" si="5"/>
        <v>115</v>
      </c>
      <c r="I10" s="56">
        <f t="shared" si="6"/>
        <v>230</v>
      </c>
      <c r="J10" s="57">
        <f t="shared" si="7"/>
        <v>1505</v>
      </c>
    </row>
    <row r="11" spans="1:10" x14ac:dyDescent="0.25">
      <c r="A11" s="59" t="s">
        <v>306</v>
      </c>
      <c r="B11" s="46" t="s">
        <v>124</v>
      </c>
      <c r="C11" s="44" t="s">
        <v>654</v>
      </c>
      <c r="D11" s="44" t="s">
        <v>689</v>
      </c>
      <c r="E11" s="45">
        <v>600</v>
      </c>
      <c r="F11" s="42">
        <v>18</v>
      </c>
      <c r="G11" s="56">
        <f t="shared" si="4"/>
        <v>54</v>
      </c>
      <c r="H11" s="56">
        <f t="shared" si="5"/>
        <v>54</v>
      </c>
      <c r="I11" s="56">
        <f t="shared" si="6"/>
        <v>108</v>
      </c>
      <c r="J11" s="57">
        <f t="shared" si="7"/>
        <v>708</v>
      </c>
    </row>
    <row r="12" spans="1:10" x14ac:dyDescent="0.25">
      <c r="A12" s="59" t="s">
        <v>306</v>
      </c>
      <c r="B12" s="46" t="s">
        <v>124</v>
      </c>
      <c r="C12" s="44" t="s">
        <v>655</v>
      </c>
      <c r="D12" s="44" t="s">
        <v>690</v>
      </c>
      <c r="E12" s="45">
        <v>810</v>
      </c>
      <c r="F12" s="42">
        <v>18</v>
      </c>
      <c r="G12" s="56">
        <f t="shared" si="4"/>
        <v>73</v>
      </c>
      <c r="H12" s="56">
        <f t="shared" si="5"/>
        <v>73</v>
      </c>
      <c r="I12" s="56">
        <f t="shared" si="6"/>
        <v>146</v>
      </c>
      <c r="J12" s="57">
        <f t="shared" si="7"/>
        <v>956</v>
      </c>
    </row>
    <row r="13" spans="1:10" x14ac:dyDescent="0.25">
      <c r="A13" s="48" t="s">
        <v>514</v>
      </c>
      <c r="B13" s="44" t="s">
        <v>499</v>
      </c>
      <c r="C13" s="44" t="s">
        <v>656</v>
      </c>
      <c r="D13" s="44" t="s">
        <v>691</v>
      </c>
      <c r="E13" s="45">
        <v>1430</v>
      </c>
      <c r="F13" s="42">
        <v>18</v>
      </c>
      <c r="G13" s="56">
        <f t="shared" si="4"/>
        <v>129</v>
      </c>
      <c r="H13" s="56">
        <f t="shared" si="5"/>
        <v>129</v>
      </c>
      <c r="I13" s="56">
        <f t="shared" si="6"/>
        <v>258</v>
      </c>
      <c r="J13" s="57">
        <f t="shared" si="7"/>
        <v>1688</v>
      </c>
    </row>
    <row r="14" spans="1:10" x14ac:dyDescent="0.25">
      <c r="A14" s="59" t="s">
        <v>135</v>
      </c>
      <c r="B14" s="46" t="s">
        <v>136</v>
      </c>
      <c r="C14" s="44" t="s">
        <v>657</v>
      </c>
      <c r="D14" s="44" t="s">
        <v>692</v>
      </c>
      <c r="E14" s="45">
        <v>1710</v>
      </c>
      <c r="F14" s="42">
        <v>18</v>
      </c>
      <c r="G14" s="56">
        <f t="shared" si="4"/>
        <v>154</v>
      </c>
      <c r="H14" s="56">
        <f t="shared" si="5"/>
        <v>154</v>
      </c>
      <c r="I14" s="56">
        <f t="shared" si="6"/>
        <v>308</v>
      </c>
      <c r="J14" s="57">
        <f t="shared" si="7"/>
        <v>2018</v>
      </c>
    </row>
    <row r="15" spans="1:10" x14ac:dyDescent="0.25">
      <c r="A15" s="59" t="s">
        <v>255</v>
      </c>
      <c r="B15" s="46" t="s">
        <v>256</v>
      </c>
      <c r="C15" s="44" t="s">
        <v>658</v>
      </c>
      <c r="D15" s="44" t="s">
        <v>691</v>
      </c>
      <c r="E15" s="45">
        <v>14400</v>
      </c>
      <c r="F15" s="42">
        <v>18</v>
      </c>
      <c r="G15" s="56">
        <f t="shared" si="4"/>
        <v>1296</v>
      </c>
      <c r="H15" s="56">
        <f t="shared" si="5"/>
        <v>1296</v>
      </c>
      <c r="I15" s="56">
        <f t="shared" si="6"/>
        <v>2592</v>
      </c>
      <c r="J15" s="57">
        <f t="shared" si="7"/>
        <v>16992</v>
      </c>
    </row>
    <row r="16" spans="1:10" x14ac:dyDescent="0.25">
      <c r="A16" s="59" t="s">
        <v>255</v>
      </c>
      <c r="B16" s="46" t="s">
        <v>256</v>
      </c>
      <c r="C16" s="44" t="s">
        <v>659</v>
      </c>
      <c r="D16" s="44" t="s">
        <v>693</v>
      </c>
      <c r="E16" s="45">
        <v>32640</v>
      </c>
      <c r="F16" s="42">
        <v>18</v>
      </c>
      <c r="G16" s="56">
        <f t="shared" si="4"/>
        <v>2938</v>
      </c>
      <c r="H16" s="56">
        <f t="shared" si="5"/>
        <v>2938</v>
      </c>
      <c r="I16" s="56">
        <f t="shared" si="6"/>
        <v>5876</v>
      </c>
      <c r="J16" s="57">
        <f t="shared" si="7"/>
        <v>38516</v>
      </c>
    </row>
    <row r="17" spans="1:10" x14ac:dyDescent="0.25">
      <c r="A17" s="59" t="s">
        <v>127</v>
      </c>
      <c r="B17" s="46" t="s">
        <v>128</v>
      </c>
      <c r="C17" s="44" t="s">
        <v>660</v>
      </c>
      <c r="D17" s="44" t="s">
        <v>693</v>
      </c>
      <c r="E17" s="45">
        <v>10675</v>
      </c>
      <c r="F17" s="42">
        <v>18</v>
      </c>
      <c r="G17" s="56">
        <f t="shared" si="4"/>
        <v>961</v>
      </c>
      <c r="H17" s="56">
        <f t="shared" si="5"/>
        <v>961</v>
      </c>
      <c r="I17" s="56">
        <f t="shared" si="6"/>
        <v>1922</v>
      </c>
      <c r="J17" s="57">
        <f t="shared" si="7"/>
        <v>12597</v>
      </c>
    </row>
    <row r="18" spans="1:10" x14ac:dyDescent="0.25">
      <c r="A18" s="59" t="s">
        <v>127</v>
      </c>
      <c r="B18" s="46" t="s">
        <v>128</v>
      </c>
      <c r="C18" s="44" t="s">
        <v>661</v>
      </c>
      <c r="D18" s="44" t="s">
        <v>693</v>
      </c>
      <c r="E18" s="45">
        <v>3480</v>
      </c>
      <c r="F18" s="42">
        <v>18</v>
      </c>
      <c r="G18" s="56">
        <f t="shared" si="4"/>
        <v>313</v>
      </c>
      <c r="H18" s="56">
        <f t="shared" si="5"/>
        <v>313</v>
      </c>
      <c r="I18" s="56">
        <f t="shared" si="6"/>
        <v>626</v>
      </c>
      <c r="J18" s="57">
        <f t="shared" si="7"/>
        <v>4106</v>
      </c>
    </row>
    <row r="19" spans="1:10" x14ac:dyDescent="0.25">
      <c r="A19" s="59" t="s">
        <v>127</v>
      </c>
      <c r="B19" s="46" t="s">
        <v>128</v>
      </c>
      <c r="C19" s="44" t="s">
        <v>662</v>
      </c>
      <c r="D19" s="44" t="s">
        <v>694</v>
      </c>
      <c r="E19" s="45">
        <v>8830</v>
      </c>
      <c r="F19" s="42">
        <v>18</v>
      </c>
      <c r="G19" s="56">
        <f t="shared" si="4"/>
        <v>795</v>
      </c>
      <c r="H19" s="56">
        <f t="shared" si="5"/>
        <v>795</v>
      </c>
      <c r="I19" s="56">
        <f t="shared" si="6"/>
        <v>1590</v>
      </c>
      <c r="J19" s="57">
        <f t="shared" si="7"/>
        <v>10420</v>
      </c>
    </row>
    <row r="20" spans="1:10" x14ac:dyDescent="0.25">
      <c r="A20" s="59" t="s">
        <v>306</v>
      </c>
      <c r="B20" s="46" t="s">
        <v>124</v>
      </c>
      <c r="C20" s="44" t="s">
        <v>663</v>
      </c>
      <c r="D20" s="44" t="s">
        <v>695</v>
      </c>
      <c r="E20" s="45">
        <v>300</v>
      </c>
      <c r="F20" s="42">
        <v>18</v>
      </c>
      <c r="G20" s="56">
        <f t="shared" si="4"/>
        <v>27</v>
      </c>
      <c r="H20" s="56">
        <f t="shared" si="5"/>
        <v>27</v>
      </c>
      <c r="I20" s="56">
        <f t="shared" si="6"/>
        <v>54</v>
      </c>
      <c r="J20" s="57">
        <f t="shared" si="7"/>
        <v>354</v>
      </c>
    </row>
    <row r="21" spans="1:10" x14ac:dyDescent="0.25">
      <c r="A21" s="59" t="s">
        <v>306</v>
      </c>
      <c r="B21" s="46" t="s">
        <v>124</v>
      </c>
      <c r="C21" s="44" t="s">
        <v>664</v>
      </c>
      <c r="D21" s="44" t="s">
        <v>696</v>
      </c>
      <c r="E21" s="45">
        <v>1620</v>
      </c>
      <c r="F21" s="42">
        <v>18</v>
      </c>
      <c r="G21" s="56">
        <f t="shared" si="4"/>
        <v>146</v>
      </c>
      <c r="H21" s="56">
        <f t="shared" si="5"/>
        <v>146</v>
      </c>
      <c r="I21" s="56">
        <f t="shared" si="6"/>
        <v>292</v>
      </c>
      <c r="J21" s="57">
        <f t="shared" si="7"/>
        <v>1912</v>
      </c>
    </row>
    <row r="22" spans="1:10" x14ac:dyDescent="0.25">
      <c r="A22" s="59" t="s">
        <v>306</v>
      </c>
      <c r="B22" s="46" t="s">
        <v>124</v>
      </c>
      <c r="C22" s="44" t="s">
        <v>665</v>
      </c>
      <c r="D22" s="44" t="s">
        <v>697</v>
      </c>
      <c r="E22" s="45">
        <v>1200</v>
      </c>
      <c r="F22" s="42">
        <v>18</v>
      </c>
      <c r="G22" s="56">
        <f t="shared" si="4"/>
        <v>108</v>
      </c>
      <c r="H22" s="56">
        <f t="shared" si="5"/>
        <v>108</v>
      </c>
      <c r="I22" s="56">
        <f t="shared" si="6"/>
        <v>216</v>
      </c>
      <c r="J22" s="57">
        <f t="shared" si="7"/>
        <v>1416</v>
      </c>
    </row>
    <row r="23" spans="1:10" x14ac:dyDescent="0.25">
      <c r="A23" s="59" t="s">
        <v>306</v>
      </c>
      <c r="B23" s="46" t="s">
        <v>124</v>
      </c>
      <c r="C23" s="44" t="s">
        <v>666</v>
      </c>
      <c r="D23" s="44" t="s">
        <v>698</v>
      </c>
      <c r="E23" s="45">
        <v>1200</v>
      </c>
      <c r="F23" s="42">
        <v>18</v>
      </c>
      <c r="G23" s="56">
        <f t="shared" si="4"/>
        <v>108</v>
      </c>
      <c r="H23" s="56">
        <f t="shared" si="5"/>
        <v>108</v>
      </c>
      <c r="I23" s="56">
        <f t="shared" si="6"/>
        <v>216</v>
      </c>
      <c r="J23" s="57">
        <f t="shared" si="7"/>
        <v>1416</v>
      </c>
    </row>
    <row r="24" spans="1:10" x14ac:dyDescent="0.25">
      <c r="A24" s="59" t="s">
        <v>518</v>
      </c>
      <c r="B24" s="46" t="s">
        <v>517</v>
      </c>
      <c r="C24" s="44" t="s">
        <v>667</v>
      </c>
      <c r="D24" s="44" t="s">
        <v>699</v>
      </c>
      <c r="E24" s="45">
        <v>25340</v>
      </c>
      <c r="F24" s="42">
        <v>18</v>
      </c>
      <c r="G24" s="56">
        <f t="shared" si="4"/>
        <v>2281</v>
      </c>
      <c r="H24" s="56">
        <f t="shared" si="5"/>
        <v>2281</v>
      </c>
      <c r="I24" s="56">
        <f t="shared" si="6"/>
        <v>4562</v>
      </c>
      <c r="J24" s="57">
        <f t="shared" si="7"/>
        <v>29902</v>
      </c>
    </row>
    <row r="25" spans="1:10" x14ac:dyDescent="0.25">
      <c r="A25" s="59" t="s">
        <v>135</v>
      </c>
      <c r="B25" s="46" t="s">
        <v>136</v>
      </c>
      <c r="C25" s="44" t="s">
        <v>668</v>
      </c>
      <c r="D25" s="44" t="s">
        <v>700</v>
      </c>
      <c r="E25" s="45">
        <v>1005</v>
      </c>
      <c r="F25" s="42">
        <v>18</v>
      </c>
      <c r="G25" s="56">
        <f t="shared" si="4"/>
        <v>90</v>
      </c>
      <c r="H25" s="56">
        <f t="shared" si="5"/>
        <v>90</v>
      </c>
      <c r="I25" s="56">
        <f t="shared" si="6"/>
        <v>180</v>
      </c>
      <c r="J25" s="57">
        <f t="shared" si="7"/>
        <v>1185</v>
      </c>
    </row>
    <row r="26" spans="1:10" x14ac:dyDescent="0.25">
      <c r="A26" s="59" t="s">
        <v>135</v>
      </c>
      <c r="B26" s="46" t="s">
        <v>136</v>
      </c>
      <c r="C26" s="44" t="s">
        <v>669</v>
      </c>
      <c r="D26" s="44" t="s">
        <v>700</v>
      </c>
      <c r="E26" s="45">
        <v>1608</v>
      </c>
      <c r="F26" s="42">
        <v>18</v>
      </c>
      <c r="G26" s="56">
        <f t="shared" si="4"/>
        <v>145</v>
      </c>
      <c r="H26" s="56">
        <f t="shared" si="5"/>
        <v>145</v>
      </c>
      <c r="I26" s="56">
        <f t="shared" si="6"/>
        <v>290</v>
      </c>
      <c r="J26" s="57">
        <f t="shared" si="7"/>
        <v>1898</v>
      </c>
    </row>
    <row r="27" spans="1:10" x14ac:dyDescent="0.25">
      <c r="A27" s="59" t="s">
        <v>135</v>
      </c>
      <c r="B27" s="46" t="s">
        <v>136</v>
      </c>
      <c r="C27" s="44" t="s">
        <v>670</v>
      </c>
      <c r="D27" s="44" t="s">
        <v>652</v>
      </c>
      <c r="E27" s="45">
        <v>3618</v>
      </c>
      <c r="F27" s="42">
        <v>18</v>
      </c>
      <c r="G27" s="56">
        <f t="shared" si="4"/>
        <v>326</v>
      </c>
      <c r="H27" s="56">
        <f t="shared" si="5"/>
        <v>326</v>
      </c>
      <c r="I27" s="56">
        <f t="shared" si="6"/>
        <v>652</v>
      </c>
      <c r="J27" s="57">
        <f t="shared" si="7"/>
        <v>4270</v>
      </c>
    </row>
    <row r="28" spans="1:10" x14ac:dyDescent="0.25">
      <c r="A28" s="59" t="s">
        <v>135</v>
      </c>
      <c r="B28" s="46" t="s">
        <v>136</v>
      </c>
      <c r="C28" s="44" t="s">
        <v>671</v>
      </c>
      <c r="D28" s="44" t="s">
        <v>652</v>
      </c>
      <c r="E28" s="45">
        <v>3819</v>
      </c>
      <c r="F28" s="42">
        <v>18</v>
      </c>
      <c r="G28" s="56">
        <f t="shared" si="4"/>
        <v>344</v>
      </c>
      <c r="H28" s="56">
        <f t="shared" si="5"/>
        <v>344</v>
      </c>
      <c r="I28" s="56">
        <f t="shared" si="6"/>
        <v>688</v>
      </c>
      <c r="J28" s="57">
        <f t="shared" si="7"/>
        <v>4507</v>
      </c>
    </row>
    <row r="29" spans="1:10" x14ac:dyDescent="0.25">
      <c r="A29" s="59" t="s">
        <v>135</v>
      </c>
      <c r="B29" s="46" t="s">
        <v>136</v>
      </c>
      <c r="C29" s="44" t="s">
        <v>672</v>
      </c>
      <c r="D29" s="44" t="s">
        <v>701</v>
      </c>
      <c r="E29" s="45">
        <v>6030</v>
      </c>
      <c r="F29" s="42">
        <v>18</v>
      </c>
      <c r="G29" s="56">
        <f t="shared" si="4"/>
        <v>543</v>
      </c>
      <c r="H29" s="56">
        <f t="shared" si="5"/>
        <v>543</v>
      </c>
      <c r="I29" s="56">
        <f t="shared" si="6"/>
        <v>1086</v>
      </c>
      <c r="J29" s="57">
        <f t="shared" si="7"/>
        <v>7116</v>
      </c>
    </row>
    <row r="30" spans="1:10" x14ac:dyDescent="0.25">
      <c r="A30" s="59" t="s">
        <v>135</v>
      </c>
      <c r="B30" s="46" t="s">
        <v>136</v>
      </c>
      <c r="C30" s="44" t="s">
        <v>673</v>
      </c>
      <c r="D30" s="44" t="s">
        <v>702</v>
      </c>
      <c r="E30" s="45">
        <v>3420</v>
      </c>
      <c r="F30" s="42">
        <v>18</v>
      </c>
      <c r="G30" s="56">
        <f t="shared" si="4"/>
        <v>308</v>
      </c>
      <c r="H30" s="56">
        <f t="shared" si="5"/>
        <v>308</v>
      </c>
      <c r="I30" s="56">
        <f t="shared" si="6"/>
        <v>616</v>
      </c>
      <c r="J30" s="57">
        <f t="shared" si="7"/>
        <v>4036</v>
      </c>
    </row>
    <row r="31" spans="1:10" x14ac:dyDescent="0.25">
      <c r="A31" s="59" t="s">
        <v>135</v>
      </c>
      <c r="B31" s="46" t="s">
        <v>136</v>
      </c>
      <c r="C31" s="44" t="s">
        <v>674</v>
      </c>
      <c r="D31" s="44" t="s">
        <v>702</v>
      </c>
      <c r="E31" s="45">
        <v>1710</v>
      </c>
      <c r="F31" s="42">
        <v>18</v>
      </c>
      <c r="G31" s="56">
        <f t="shared" si="4"/>
        <v>154</v>
      </c>
      <c r="H31" s="56">
        <f t="shared" si="5"/>
        <v>154</v>
      </c>
      <c r="I31" s="56">
        <f t="shared" si="6"/>
        <v>308</v>
      </c>
      <c r="J31" s="57">
        <f t="shared" si="7"/>
        <v>2018</v>
      </c>
    </row>
    <row r="32" spans="1:10" x14ac:dyDescent="0.25">
      <c r="A32" s="59" t="s">
        <v>135</v>
      </c>
      <c r="B32" s="46" t="s">
        <v>136</v>
      </c>
      <c r="C32" s="44" t="s">
        <v>675</v>
      </c>
      <c r="D32" s="44" t="s">
        <v>702</v>
      </c>
      <c r="E32" s="45">
        <v>1197</v>
      </c>
      <c r="F32" s="42">
        <v>18</v>
      </c>
      <c r="G32" s="56">
        <f t="shared" si="4"/>
        <v>108</v>
      </c>
      <c r="H32" s="56">
        <f t="shared" si="5"/>
        <v>108</v>
      </c>
      <c r="I32" s="56">
        <f t="shared" si="6"/>
        <v>216</v>
      </c>
      <c r="J32" s="57">
        <f t="shared" si="7"/>
        <v>1413</v>
      </c>
    </row>
    <row r="33" spans="1:10" x14ac:dyDescent="0.25">
      <c r="A33" s="59" t="s">
        <v>135</v>
      </c>
      <c r="B33" s="46" t="s">
        <v>136</v>
      </c>
      <c r="C33" s="44" t="s">
        <v>676</v>
      </c>
      <c r="D33" s="44" t="s">
        <v>702</v>
      </c>
      <c r="E33" s="45">
        <v>1368</v>
      </c>
      <c r="F33" s="42">
        <v>18</v>
      </c>
      <c r="G33" s="56">
        <f t="shared" si="4"/>
        <v>123</v>
      </c>
      <c r="H33" s="56">
        <f t="shared" si="5"/>
        <v>123</v>
      </c>
      <c r="I33" s="56">
        <f t="shared" si="6"/>
        <v>246</v>
      </c>
      <c r="J33" s="57">
        <f t="shared" si="7"/>
        <v>1614</v>
      </c>
    </row>
    <row r="34" spans="1:10" x14ac:dyDescent="0.25">
      <c r="A34" s="59" t="s">
        <v>135</v>
      </c>
      <c r="B34" s="46" t="s">
        <v>136</v>
      </c>
      <c r="C34" s="44" t="s">
        <v>677</v>
      </c>
      <c r="D34" s="44" t="s">
        <v>702</v>
      </c>
      <c r="E34" s="45">
        <v>1881</v>
      </c>
      <c r="F34" s="42">
        <v>18</v>
      </c>
      <c r="G34" s="56">
        <f t="shared" si="4"/>
        <v>169</v>
      </c>
      <c r="H34" s="56">
        <f t="shared" si="5"/>
        <v>169</v>
      </c>
      <c r="I34" s="56">
        <f t="shared" si="6"/>
        <v>338</v>
      </c>
      <c r="J34" s="57">
        <f t="shared" si="7"/>
        <v>2219</v>
      </c>
    </row>
    <row r="35" spans="1:10" x14ac:dyDescent="0.25">
      <c r="A35" s="59" t="s">
        <v>135</v>
      </c>
      <c r="B35" s="46" t="s">
        <v>136</v>
      </c>
      <c r="C35" s="44" t="s">
        <v>678</v>
      </c>
      <c r="D35" s="44" t="s">
        <v>702</v>
      </c>
      <c r="E35" s="45">
        <v>684</v>
      </c>
      <c r="F35" s="42">
        <v>18</v>
      </c>
      <c r="G35" s="56">
        <f t="shared" si="4"/>
        <v>62</v>
      </c>
      <c r="H35" s="56">
        <f t="shared" si="5"/>
        <v>62</v>
      </c>
      <c r="I35" s="56">
        <f t="shared" si="6"/>
        <v>124</v>
      </c>
      <c r="J35" s="57">
        <f t="shared" si="7"/>
        <v>808</v>
      </c>
    </row>
    <row r="36" spans="1:10" x14ac:dyDescent="0.25">
      <c r="A36" s="59" t="s">
        <v>135</v>
      </c>
      <c r="B36" s="46" t="s">
        <v>136</v>
      </c>
      <c r="C36" s="44" t="s">
        <v>679</v>
      </c>
      <c r="D36" s="44" t="s">
        <v>702</v>
      </c>
      <c r="E36" s="45">
        <v>1140</v>
      </c>
      <c r="F36" s="42">
        <v>18</v>
      </c>
      <c r="G36" s="56">
        <f t="shared" si="4"/>
        <v>103</v>
      </c>
      <c r="H36" s="56">
        <f t="shared" si="5"/>
        <v>103</v>
      </c>
      <c r="I36" s="56">
        <f t="shared" si="6"/>
        <v>206</v>
      </c>
      <c r="J36" s="57">
        <f t="shared" si="7"/>
        <v>1346</v>
      </c>
    </row>
    <row r="37" spans="1:10" x14ac:dyDescent="0.25">
      <c r="A37" s="59" t="s">
        <v>135</v>
      </c>
      <c r="B37" s="46" t="s">
        <v>136</v>
      </c>
      <c r="C37" s="44" t="s">
        <v>680</v>
      </c>
      <c r="D37" s="44" t="s">
        <v>693</v>
      </c>
      <c r="E37" s="45">
        <v>780</v>
      </c>
      <c r="F37" s="42">
        <v>18</v>
      </c>
      <c r="G37" s="56">
        <f t="shared" si="4"/>
        <v>70</v>
      </c>
      <c r="H37" s="56">
        <f t="shared" si="5"/>
        <v>70</v>
      </c>
      <c r="I37" s="56">
        <f t="shared" si="6"/>
        <v>140</v>
      </c>
      <c r="J37" s="57">
        <f t="shared" si="7"/>
        <v>920</v>
      </c>
    </row>
    <row r="38" spans="1:10" x14ac:dyDescent="0.25">
      <c r="A38" s="59" t="s">
        <v>135</v>
      </c>
      <c r="B38" s="46" t="s">
        <v>136</v>
      </c>
      <c r="C38" s="44" t="s">
        <v>681</v>
      </c>
      <c r="D38" s="44" t="s">
        <v>702</v>
      </c>
      <c r="E38" s="45">
        <v>2560</v>
      </c>
      <c r="F38" s="42">
        <v>18</v>
      </c>
      <c r="G38" s="56">
        <f t="shared" si="4"/>
        <v>230</v>
      </c>
      <c r="H38" s="56">
        <f t="shared" si="5"/>
        <v>230</v>
      </c>
      <c r="I38" s="56">
        <f t="shared" si="6"/>
        <v>460</v>
      </c>
      <c r="J38" s="57">
        <f t="shared" si="7"/>
        <v>3020</v>
      </c>
    </row>
    <row r="39" spans="1:10" x14ac:dyDescent="0.25">
      <c r="A39" s="48" t="s">
        <v>514</v>
      </c>
      <c r="B39" s="44" t="s">
        <v>499</v>
      </c>
      <c r="C39" s="44" t="s">
        <v>682</v>
      </c>
      <c r="D39" s="44" t="s">
        <v>702</v>
      </c>
      <c r="E39" s="45">
        <v>12600</v>
      </c>
      <c r="F39" s="42">
        <v>18</v>
      </c>
      <c r="G39" s="56">
        <f t="shared" si="4"/>
        <v>1134</v>
      </c>
      <c r="H39" s="56">
        <f t="shared" si="5"/>
        <v>1134</v>
      </c>
      <c r="I39" s="56">
        <f t="shared" si="6"/>
        <v>2268</v>
      </c>
      <c r="J39" s="57">
        <f t="shared" si="7"/>
        <v>14868</v>
      </c>
    </row>
    <row r="40" spans="1:10" x14ac:dyDescent="0.25">
      <c r="A40" s="59" t="s">
        <v>127</v>
      </c>
      <c r="B40" s="46" t="s">
        <v>128</v>
      </c>
      <c r="C40" s="44" t="s">
        <v>683</v>
      </c>
      <c r="D40" s="44" t="s">
        <v>700</v>
      </c>
      <c r="E40" s="45">
        <v>1200</v>
      </c>
      <c r="F40" s="42">
        <v>18</v>
      </c>
      <c r="G40" s="56">
        <f t="shared" si="4"/>
        <v>108</v>
      </c>
      <c r="H40" s="56">
        <f t="shared" si="5"/>
        <v>108</v>
      </c>
      <c r="I40" s="56">
        <f t="shared" si="6"/>
        <v>216</v>
      </c>
      <c r="J40" s="57">
        <f t="shared" si="7"/>
        <v>1416</v>
      </c>
    </row>
    <row r="41" spans="1:10" x14ac:dyDescent="0.25">
      <c r="A41" s="59" t="s">
        <v>127</v>
      </c>
      <c r="B41" s="46" t="s">
        <v>128</v>
      </c>
      <c r="C41" s="44" t="s">
        <v>684</v>
      </c>
      <c r="D41" s="44" t="s">
        <v>649</v>
      </c>
      <c r="E41" s="45">
        <v>500</v>
      </c>
      <c r="F41" s="42">
        <v>18</v>
      </c>
      <c r="G41" s="56">
        <f t="shared" si="4"/>
        <v>45</v>
      </c>
      <c r="H41" s="56">
        <f t="shared" si="5"/>
        <v>45</v>
      </c>
      <c r="I41" s="56">
        <f t="shared" si="6"/>
        <v>90</v>
      </c>
      <c r="J41" s="57">
        <f t="shared" si="7"/>
        <v>590</v>
      </c>
    </row>
    <row r="42" spans="1:10" x14ac:dyDescent="0.25">
      <c r="A42" s="59" t="s">
        <v>135</v>
      </c>
      <c r="B42" s="46" t="s">
        <v>136</v>
      </c>
      <c r="C42" s="44" t="s">
        <v>685</v>
      </c>
      <c r="D42" s="44" t="s">
        <v>703</v>
      </c>
      <c r="E42" s="45">
        <v>2256</v>
      </c>
      <c r="F42" s="42">
        <v>18</v>
      </c>
      <c r="G42" s="56">
        <f t="shared" si="4"/>
        <v>203</v>
      </c>
      <c r="H42" s="56">
        <f t="shared" si="5"/>
        <v>203</v>
      </c>
      <c r="I42" s="56">
        <f t="shared" si="6"/>
        <v>406</v>
      </c>
      <c r="J42" s="57">
        <f t="shared" si="7"/>
        <v>2662</v>
      </c>
    </row>
    <row r="43" spans="1:10" x14ac:dyDescent="0.25">
      <c r="A43" s="59" t="s">
        <v>135</v>
      </c>
      <c r="B43" s="46" t="s">
        <v>136</v>
      </c>
      <c r="C43" s="44" t="s">
        <v>686</v>
      </c>
      <c r="D43" s="44" t="s">
        <v>703</v>
      </c>
      <c r="E43" s="45">
        <v>4794</v>
      </c>
      <c r="F43" s="42">
        <v>18</v>
      </c>
      <c r="G43" s="56">
        <f t="shared" si="4"/>
        <v>431</v>
      </c>
      <c r="H43" s="56">
        <f t="shared" si="5"/>
        <v>431</v>
      </c>
      <c r="I43" s="56">
        <f t="shared" si="6"/>
        <v>862</v>
      </c>
      <c r="J43" s="57">
        <f t="shared" si="7"/>
        <v>5656</v>
      </c>
    </row>
    <row r="44" spans="1:10" x14ac:dyDescent="0.25">
      <c r="A44" s="59" t="s">
        <v>135</v>
      </c>
      <c r="B44" s="46" t="s">
        <v>136</v>
      </c>
      <c r="C44" s="44" t="s">
        <v>687</v>
      </c>
      <c r="D44" s="44" t="s">
        <v>649</v>
      </c>
      <c r="E44" s="45">
        <v>3420</v>
      </c>
      <c r="F44" s="42">
        <v>18</v>
      </c>
      <c r="G44" s="56">
        <f t="shared" si="4"/>
        <v>308</v>
      </c>
      <c r="H44" s="56">
        <f t="shared" si="5"/>
        <v>308</v>
      </c>
      <c r="I44" s="56">
        <f t="shared" si="6"/>
        <v>616</v>
      </c>
      <c r="J44" s="57">
        <f t="shared" si="7"/>
        <v>4036</v>
      </c>
    </row>
    <row r="45" spans="1:10" x14ac:dyDescent="0.25">
      <c r="A45" s="59"/>
      <c r="B45" s="46"/>
      <c r="C45" s="44"/>
      <c r="D45" s="44"/>
      <c r="E45" s="45">
        <v>0</v>
      </c>
      <c r="F45" s="42">
        <v>18</v>
      </c>
      <c r="G45" s="56">
        <f t="shared" si="4"/>
        <v>0</v>
      </c>
      <c r="H45" s="56">
        <f t="shared" si="5"/>
        <v>0</v>
      </c>
      <c r="I45" s="56">
        <f t="shared" si="6"/>
        <v>0</v>
      </c>
      <c r="J45" s="57">
        <f t="shared" si="7"/>
        <v>0</v>
      </c>
    </row>
    <row r="46" spans="1:10" x14ac:dyDescent="0.25">
      <c r="A46" s="59"/>
      <c r="B46" s="46"/>
      <c r="C46" s="44"/>
      <c r="D46" s="44"/>
      <c r="E46" s="45">
        <v>0</v>
      </c>
      <c r="F46" s="42">
        <v>18</v>
      </c>
      <c r="G46" s="56">
        <f t="shared" si="4"/>
        <v>0</v>
      </c>
      <c r="H46" s="56">
        <f t="shared" si="5"/>
        <v>0</v>
      </c>
      <c r="I46" s="56">
        <f t="shared" si="6"/>
        <v>0</v>
      </c>
      <c r="J46" s="57">
        <f t="shared" si="7"/>
        <v>0</v>
      </c>
    </row>
    <row r="47" spans="1:10" x14ac:dyDescent="0.25">
      <c r="A47" s="59"/>
      <c r="B47" s="46"/>
      <c r="C47" s="44"/>
      <c r="D47" s="44"/>
      <c r="E47" s="45">
        <v>0</v>
      </c>
      <c r="F47" s="42">
        <v>18</v>
      </c>
      <c r="G47" s="56">
        <f t="shared" si="4"/>
        <v>0</v>
      </c>
      <c r="H47" s="56">
        <f t="shared" si="5"/>
        <v>0</v>
      </c>
      <c r="I47" s="56">
        <f t="shared" si="6"/>
        <v>0</v>
      </c>
      <c r="J47" s="57">
        <f t="shared" si="7"/>
        <v>0</v>
      </c>
    </row>
    <row r="48" spans="1:10" x14ac:dyDescent="0.25">
      <c r="A48" s="59"/>
      <c r="B48" s="46"/>
      <c r="C48" s="44"/>
      <c r="D48" s="44"/>
      <c r="E48" s="45">
        <v>0</v>
      </c>
      <c r="F48" s="42">
        <v>18</v>
      </c>
      <c r="G48" s="56">
        <f t="shared" si="4"/>
        <v>0</v>
      </c>
      <c r="H48" s="56">
        <f t="shared" si="5"/>
        <v>0</v>
      </c>
      <c r="I48" s="56">
        <f t="shared" si="6"/>
        <v>0</v>
      </c>
      <c r="J48" s="57">
        <f t="shared" si="7"/>
        <v>0</v>
      </c>
    </row>
    <row r="49" spans="1:10" x14ac:dyDescent="0.25">
      <c r="A49" s="59"/>
      <c r="B49" s="46"/>
      <c r="C49" s="44"/>
      <c r="D49" s="44"/>
      <c r="E49" s="45">
        <v>0</v>
      </c>
      <c r="F49" s="42">
        <v>18</v>
      </c>
      <c r="G49" s="56">
        <f t="shared" si="4"/>
        <v>0</v>
      </c>
      <c r="H49" s="56">
        <f t="shared" si="5"/>
        <v>0</v>
      </c>
      <c r="I49" s="56">
        <f t="shared" si="6"/>
        <v>0</v>
      </c>
      <c r="J49" s="57">
        <f t="shared" si="7"/>
        <v>0</v>
      </c>
    </row>
    <row r="50" spans="1:10" x14ac:dyDescent="0.25">
      <c r="A50" s="59"/>
      <c r="B50" s="46"/>
      <c r="C50" s="44"/>
      <c r="D50" s="44"/>
      <c r="E50" s="45">
        <v>0</v>
      </c>
      <c r="F50" s="42">
        <v>18</v>
      </c>
      <c r="G50" s="56">
        <f t="shared" si="4"/>
        <v>0</v>
      </c>
      <c r="H50" s="56">
        <f t="shared" si="5"/>
        <v>0</v>
      </c>
      <c r="I50" s="56">
        <f t="shared" si="6"/>
        <v>0</v>
      </c>
      <c r="J50" s="57">
        <f t="shared" si="7"/>
        <v>0</v>
      </c>
    </row>
    <row r="51" spans="1:10" x14ac:dyDescent="0.25">
      <c r="A51" s="59"/>
      <c r="B51" s="46"/>
      <c r="C51" s="44"/>
      <c r="D51" s="44"/>
      <c r="E51" s="45">
        <v>0</v>
      </c>
      <c r="F51" s="42">
        <v>18</v>
      </c>
      <c r="G51" s="56">
        <f t="shared" si="4"/>
        <v>0</v>
      </c>
      <c r="H51" s="56">
        <f t="shared" si="5"/>
        <v>0</v>
      </c>
      <c r="I51" s="56">
        <f t="shared" si="6"/>
        <v>0</v>
      </c>
      <c r="J51" s="57">
        <f t="shared" si="7"/>
        <v>0</v>
      </c>
    </row>
    <row r="52" spans="1:10" x14ac:dyDescent="0.25">
      <c r="A52" s="59"/>
      <c r="B52" s="46"/>
      <c r="C52" s="44"/>
      <c r="D52" s="44"/>
      <c r="E52" s="45">
        <v>0</v>
      </c>
      <c r="F52" s="42">
        <v>18</v>
      </c>
      <c r="G52" s="56">
        <f t="shared" si="4"/>
        <v>0</v>
      </c>
      <c r="H52" s="56">
        <f t="shared" si="5"/>
        <v>0</v>
      </c>
      <c r="I52" s="56">
        <f t="shared" si="6"/>
        <v>0</v>
      </c>
      <c r="J52" s="57">
        <f t="shared" si="7"/>
        <v>0</v>
      </c>
    </row>
    <row r="53" spans="1:10" x14ac:dyDescent="0.25">
      <c r="A53" s="59"/>
      <c r="B53" s="46"/>
      <c r="C53" s="44"/>
      <c r="D53" s="44"/>
      <c r="E53" s="45">
        <v>0</v>
      </c>
      <c r="F53" s="42">
        <v>18</v>
      </c>
      <c r="G53" s="56">
        <f t="shared" si="4"/>
        <v>0</v>
      </c>
      <c r="H53" s="56">
        <f t="shared" si="5"/>
        <v>0</v>
      </c>
      <c r="I53" s="56">
        <f t="shared" si="6"/>
        <v>0</v>
      </c>
      <c r="J53" s="57">
        <f t="shared" si="7"/>
        <v>0</v>
      </c>
    </row>
    <row r="54" spans="1:10" x14ac:dyDescent="0.25">
      <c r="A54" s="59"/>
      <c r="B54" s="46"/>
      <c r="C54" s="44"/>
      <c r="D54" s="44"/>
      <c r="E54" s="45">
        <v>0</v>
      </c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59"/>
      <c r="B55" s="46"/>
      <c r="C55" s="44"/>
      <c r="D55" s="44"/>
      <c r="E55" s="45">
        <v>0</v>
      </c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59"/>
      <c r="B56" s="46"/>
      <c r="C56" s="44"/>
      <c r="D56" s="44"/>
      <c r="E56" s="45">
        <v>0</v>
      </c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59"/>
      <c r="B57" s="46"/>
      <c r="C57" s="44"/>
      <c r="D57" s="44"/>
      <c r="E57" s="45">
        <v>0</v>
      </c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59"/>
      <c r="B58" s="46"/>
      <c r="C58" s="44"/>
      <c r="D58" s="44"/>
      <c r="E58" s="45">
        <v>0</v>
      </c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59"/>
      <c r="B59" s="46"/>
      <c r="C59" s="44"/>
      <c r="D59" s="44"/>
      <c r="E59" s="45">
        <v>0</v>
      </c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59"/>
      <c r="B60" s="46"/>
      <c r="C60" s="44"/>
      <c r="D60" s="44"/>
      <c r="E60" s="45">
        <v>0</v>
      </c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  <row r="61" spans="1:10" x14ac:dyDescent="0.25">
      <c r="A61" s="59"/>
      <c r="B61" s="46"/>
      <c r="C61" s="44"/>
      <c r="D61" s="44"/>
      <c r="E61" s="45">
        <v>0</v>
      </c>
      <c r="F61" s="42">
        <v>18</v>
      </c>
      <c r="G61" s="56">
        <f t="shared" si="4"/>
        <v>0</v>
      </c>
      <c r="H61" s="56">
        <f t="shared" si="5"/>
        <v>0</v>
      </c>
      <c r="I61" s="56">
        <f t="shared" si="6"/>
        <v>0</v>
      </c>
      <c r="J61" s="57">
        <f t="shared" si="7"/>
        <v>0</v>
      </c>
    </row>
    <row r="62" spans="1:10" x14ac:dyDescent="0.25">
      <c r="A62" s="59"/>
      <c r="B62" s="46"/>
      <c r="C62" s="44"/>
      <c r="D62" s="44"/>
      <c r="E62" s="45">
        <v>0</v>
      </c>
      <c r="F62" s="42">
        <v>18</v>
      </c>
      <c r="G62" s="56">
        <f t="shared" si="4"/>
        <v>0</v>
      </c>
      <c r="H62" s="56">
        <f t="shared" si="5"/>
        <v>0</v>
      </c>
      <c r="I62" s="56">
        <f t="shared" si="6"/>
        <v>0</v>
      </c>
      <c r="J62" s="57">
        <f t="shared" si="7"/>
        <v>0</v>
      </c>
    </row>
    <row r="63" spans="1:10" x14ac:dyDescent="0.25">
      <c r="A63" s="59"/>
      <c r="B63" s="46"/>
      <c r="C63" s="44"/>
      <c r="D63" s="44"/>
      <c r="E63" s="45">
        <v>0</v>
      </c>
      <c r="F63" s="42">
        <v>18</v>
      </c>
      <c r="G63" s="56">
        <f t="shared" si="4"/>
        <v>0</v>
      </c>
      <c r="H63" s="56">
        <f t="shared" si="5"/>
        <v>0</v>
      </c>
      <c r="I63" s="56">
        <f t="shared" si="6"/>
        <v>0</v>
      </c>
      <c r="J63" s="57">
        <f t="shared" si="7"/>
        <v>0</v>
      </c>
    </row>
    <row r="64" spans="1:10" x14ac:dyDescent="0.25">
      <c r="A64" s="59"/>
      <c r="B64" s="46"/>
      <c r="C64" s="44"/>
      <c r="D64" s="44"/>
      <c r="E64" s="45">
        <v>0</v>
      </c>
      <c r="F64" s="42">
        <v>18</v>
      </c>
      <c r="G64" s="56">
        <f t="shared" si="4"/>
        <v>0</v>
      </c>
      <c r="H64" s="56">
        <f t="shared" si="5"/>
        <v>0</v>
      </c>
      <c r="I64" s="56">
        <f t="shared" si="6"/>
        <v>0</v>
      </c>
      <c r="J64" s="57">
        <f t="shared" si="7"/>
        <v>0</v>
      </c>
    </row>
    <row r="65" spans="1:10" x14ac:dyDescent="0.25">
      <c r="A65" s="59"/>
      <c r="B65" s="46"/>
      <c r="C65" s="44"/>
      <c r="D65" s="44"/>
      <c r="E65" s="45">
        <v>0</v>
      </c>
      <c r="F65" s="42">
        <v>18</v>
      </c>
      <c r="G65" s="56">
        <f t="shared" si="4"/>
        <v>0</v>
      </c>
      <c r="H65" s="56">
        <f t="shared" si="5"/>
        <v>0</v>
      </c>
      <c r="I65" s="56">
        <f t="shared" si="6"/>
        <v>0</v>
      </c>
      <c r="J65" s="57">
        <f t="shared" si="7"/>
        <v>0</v>
      </c>
    </row>
    <row r="66" spans="1:10" x14ac:dyDescent="0.25">
      <c r="A66" s="59"/>
      <c r="B66" s="46"/>
      <c r="C66" s="44"/>
      <c r="D66" s="44"/>
      <c r="E66" s="45">
        <v>0</v>
      </c>
      <c r="F66" s="42">
        <v>18</v>
      </c>
      <c r="G66" s="56">
        <f t="shared" si="4"/>
        <v>0</v>
      </c>
      <c r="H66" s="56">
        <f t="shared" si="5"/>
        <v>0</v>
      </c>
      <c r="I66" s="56">
        <f t="shared" si="6"/>
        <v>0</v>
      </c>
      <c r="J66" s="57">
        <f t="shared" si="7"/>
        <v>0</v>
      </c>
    </row>
    <row r="67" spans="1:10" x14ac:dyDescent="0.25">
      <c r="A67" s="59"/>
      <c r="B67" s="46"/>
      <c r="C67" s="44"/>
      <c r="D67" s="44"/>
      <c r="E67" s="45">
        <v>0</v>
      </c>
      <c r="F67" s="42">
        <v>18</v>
      </c>
      <c r="G67" s="56">
        <f t="shared" ref="G67:G130" si="8">ROUND((E67*F67%)/2,)</f>
        <v>0</v>
      </c>
      <c r="H67" s="56">
        <f t="shared" ref="H67:H130" si="9">G67</f>
        <v>0</v>
      </c>
      <c r="I67" s="56">
        <f t="shared" ref="I67:I130" si="10">G67+H67</f>
        <v>0</v>
      </c>
      <c r="J67" s="57">
        <f t="shared" ref="J67:J130" si="11">E67+I67</f>
        <v>0</v>
      </c>
    </row>
    <row r="68" spans="1:10" x14ac:dyDescent="0.25">
      <c r="A68" s="59"/>
      <c r="B68" s="46"/>
      <c r="C68" s="44"/>
      <c r="D68" s="44"/>
      <c r="E68" s="45">
        <v>0</v>
      </c>
      <c r="F68" s="42">
        <v>18</v>
      </c>
      <c r="G68" s="56">
        <f t="shared" si="8"/>
        <v>0</v>
      </c>
      <c r="H68" s="56">
        <f t="shared" si="9"/>
        <v>0</v>
      </c>
      <c r="I68" s="56">
        <f t="shared" si="10"/>
        <v>0</v>
      </c>
      <c r="J68" s="57">
        <f t="shared" si="11"/>
        <v>0</v>
      </c>
    </row>
    <row r="69" spans="1:10" x14ac:dyDescent="0.25">
      <c r="A69" s="59"/>
      <c r="B69" s="46"/>
      <c r="C69" s="44"/>
      <c r="D69" s="44"/>
      <c r="E69" s="45">
        <v>0</v>
      </c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59"/>
      <c r="B70" s="46"/>
      <c r="C70" s="44"/>
      <c r="D70" s="44"/>
      <c r="E70" s="45">
        <v>0</v>
      </c>
      <c r="F70" s="42">
        <v>18</v>
      </c>
      <c r="G70" s="56">
        <f t="shared" si="8"/>
        <v>0</v>
      </c>
      <c r="H70" s="56">
        <f t="shared" si="9"/>
        <v>0</v>
      </c>
      <c r="I70" s="56">
        <f t="shared" si="10"/>
        <v>0</v>
      </c>
      <c r="J70" s="57">
        <f t="shared" si="11"/>
        <v>0</v>
      </c>
    </row>
    <row r="71" spans="1:10" x14ac:dyDescent="0.25">
      <c r="A71" s="59"/>
      <c r="B71" s="46"/>
      <c r="C71" s="44"/>
      <c r="D71" s="44"/>
      <c r="E71" s="45">
        <v>0</v>
      </c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59"/>
      <c r="B72" s="46"/>
      <c r="C72" s="44"/>
      <c r="D72" s="44"/>
      <c r="E72" s="45">
        <v>0</v>
      </c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59"/>
      <c r="B73" s="46"/>
      <c r="C73" s="44"/>
      <c r="D73" s="44"/>
      <c r="E73" s="45">
        <v>0</v>
      </c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59"/>
      <c r="B74" s="46"/>
      <c r="C74" s="44"/>
      <c r="D74" s="44"/>
      <c r="E74" s="45">
        <v>0</v>
      </c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59"/>
      <c r="B75" s="46"/>
      <c r="C75" s="44"/>
      <c r="D75" s="44"/>
      <c r="E75" s="45">
        <v>0</v>
      </c>
      <c r="F75" s="42">
        <v>18</v>
      </c>
      <c r="G75" s="56">
        <f t="shared" si="8"/>
        <v>0</v>
      </c>
      <c r="H75" s="56">
        <f t="shared" si="9"/>
        <v>0</v>
      </c>
      <c r="I75" s="56">
        <f t="shared" si="10"/>
        <v>0</v>
      </c>
      <c r="J75" s="57">
        <f t="shared" si="11"/>
        <v>0</v>
      </c>
    </row>
    <row r="76" spans="1:10" x14ac:dyDescent="0.25">
      <c r="A76" s="59"/>
      <c r="B76" s="46"/>
      <c r="C76" s="44"/>
      <c r="D76" s="44"/>
      <c r="E76" s="45">
        <v>0</v>
      </c>
      <c r="F76" s="42">
        <v>18</v>
      </c>
      <c r="G76" s="56">
        <f t="shared" si="8"/>
        <v>0</v>
      </c>
      <c r="H76" s="56">
        <f t="shared" si="9"/>
        <v>0</v>
      </c>
      <c r="I76" s="56">
        <f t="shared" si="10"/>
        <v>0</v>
      </c>
      <c r="J76" s="57">
        <f t="shared" si="11"/>
        <v>0</v>
      </c>
    </row>
    <row r="77" spans="1:10" x14ac:dyDescent="0.25">
      <c r="A77" s="59"/>
      <c r="B77" s="46"/>
      <c r="C77" s="44"/>
      <c r="D77" s="44"/>
      <c r="E77" s="45">
        <v>0</v>
      </c>
      <c r="F77" s="42">
        <v>18</v>
      </c>
      <c r="G77" s="56">
        <f t="shared" si="8"/>
        <v>0</v>
      </c>
      <c r="H77" s="56">
        <f t="shared" si="9"/>
        <v>0</v>
      </c>
      <c r="I77" s="56">
        <f t="shared" si="10"/>
        <v>0</v>
      </c>
      <c r="J77" s="57">
        <f t="shared" si="11"/>
        <v>0</v>
      </c>
    </row>
    <row r="78" spans="1:10" x14ac:dyDescent="0.25">
      <c r="A78" s="59"/>
      <c r="B78" s="46"/>
      <c r="C78" s="44"/>
      <c r="D78" s="44"/>
      <c r="E78" s="45">
        <v>0</v>
      </c>
      <c r="F78" s="42">
        <v>18</v>
      </c>
      <c r="G78" s="56">
        <f t="shared" si="8"/>
        <v>0</v>
      </c>
      <c r="H78" s="56">
        <f t="shared" si="9"/>
        <v>0</v>
      </c>
      <c r="I78" s="56">
        <f t="shared" si="10"/>
        <v>0</v>
      </c>
      <c r="J78" s="57">
        <f t="shared" si="11"/>
        <v>0</v>
      </c>
    </row>
    <row r="79" spans="1:10" x14ac:dyDescent="0.25">
      <c r="A79" s="59"/>
      <c r="B79" s="46"/>
      <c r="C79" s="44"/>
      <c r="D79" s="44"/>
      <c r="E79" s="45">
        <v>0</v>
      </c>
      <c r="F79" s="42">
        <v>18</v>
      </c>
      <c r="G79" s="56">
        <f t="shared" si="8"/>
        <v>0</v>
      </c>
      <c r="H79" s="56">
        <f t="shared" si="9"/>
        <v>0</v>
      </c>
      <c r="I79" s="56">
        <f t="shared" si="10"/>
        <v>0</v>
      </c>
      <c r="J79" s="57">
        <f t="shared" si="11"/>
        <v>0</v>
      </c>
    </row>
    <row r="80" spans="1:10" x14ac:dyDescent="0.25">
      <c r="A80" s="59"/>
      <c r="B80" s="46"/>
      <c r="C80" s="44"/>
      <c r="D80" s="44"/>
      <c r="E80" s="45">
        <v>0</v>
      </c>
      <c r="F80" s="42">
        <v>18</v>
      </c>
      <c r="G80" s="56">
        <f t="shared" si="8"/>
        <v>0</v>
      </c>
      <c r="H80" s="56">
        <f t="shared" si="9"/>
        <v>0</v>
      </c>
      <c r="I80" s="56">
        <f t="shared" si="10"/>
        <v>0</v>
      </c>
      <c r="J80" s="57">
        <f t="shared" si="11"/>
        <v>0</v>
      </c>
    </row>
    <row r="81" spans="1:10" x14ac:dyDescent="0.25">
      <c r="A81" s="59"/>
      <c r="B81" s="46"/>
      <c r="C81" s="44"/>
      <c r="D81" s="44"/>
      <c r="E81" s="45">
        <v>0</v>
      </c>
      <c r="F81" s="42">
        <v>18</v>
      </c>
      <c r="G81" s="56">
        <f t="shared" si="8"/>
        <v>0</v>
      </c>
      <c r="H81" s="56">
        <f t="shared" si="9"/>
        <v>0</v>
      </c>
      <c r="I81" s="56">
        <f t="shared" si="10"/>
        <v>0</v>
      </c>
      <c r="J81" s="57">
        <f t="shared" si="11"/>
        <v>0</v>
      </c>
    </row>
    <row r="82" spans="1:10" x14ac:dyDescent="0.25">
      <c r="A82" s="59"/>
      <c r="B82" s="46"/>
      <c r="C82" s="44"/>
      <c r="D82" s="44"/>
      <c r="E82" s="45">
        <v>0</v>
      </c>
      <c r="F82" s="42">
        <v>18</v>
      </c>
      <c r="G82" s="56">
        <f t="shared" si="8"/>
        <v>0</v>
      </c>
      <c r="H82" s="56">
        <f t="shared" si="9"/>
        <v>0</v>
      </c>
      <c r="I82" s="56">
        <f t="shared" si="10"/>
        <v>0</v>
      </c>
      <c r="J82" s="57">
        <f t="shared" si="11"/>
        <v>0</v>
      </c>
    </row>
    <row r="83" spans="1:10" x14ac:dyDescent="0.25">
      <c r="A83" s="59"/>
      <c r="B83" s="46"/>
      <c r="C83" s="44"/>
      <c r="D83" s="44"/>
      <c r="E83" s="45">
        <v>0</v>
      </c>
      <c r="F83" s="42">
        <v>18</v>
      </c>
      <c r="G83" s="56">
        <f t="shared" si="8"/>
        <v>0</v>
      </c>
      <c r="H83" s="56">
        <f t="shared" si="9"/>
        <v>0</v>
      </c>
      <c r="I83" s="56">
        <f t="shared" si="10"/>
        <v>0</v>
      </c>
      <c r="J83" s="57">
        <f t="shared" si="11"/>
        <v>0</v>
      </c>
    </row>
    <row r="84" spans="1:10" x14ac:dyDescent="0.25">
      <c r="A84" s="59"/>
      <c r="B84" s="46"/>
      <c r="C84" s="44"/>
      <c r="D84" s="44"/>
      <c r="E84" s="45">
        <v>0</v>
      </c>
      <c r="F84" s="42">
        <v>18</v>
      </c>
      <c r="G84" s="56">
        <f t="shared" si="8"/>
        <v>0</v>
      </c>
      <c r="H84" s="56">
        <f t="shared" si="9"/>
        <v>0</v>
      </c>
      <c r="I84" s="56">
        <f t="shared" si="10"/>
        <v>0</v>
      </c>
      <c r="J84" s="57">
        <f t="shared" si="11"/>
        <v>0</v>
      </c>
    </row>
    <row r="85" spans="1:10" x14ac:dyDescent="0.25">
      <c r="A85" s="59"/>
      <c r="B85" s="46"/>
      <c r="C85" s="44"/>
      <c r="D85" s="44"/>
      <c r="E85" s="45">
        <v>0</v>
      </c>
      <c r="F85" s="42">
        <v>18</v>
      </c>
      <c r="G85" s="56">
        <f t="shared" si="8"/>
        <v>0</v>
      </c>
      <c r="H85" s="56">
        <f t="shared" si="9"/>
        <v>0</v>
      </c>
      <c r="I85" s="56">
        <f t="shared" si="10"/>
        <v>0</v>
      </c>
      <c r="J85" s="57">
        <f t="shared" si="11"/>
        <v>0</v>
      </c>
    </row>
    <row r="86" spans="1:10" x14ac:dyDescent="0.25">
      <c r="A86" s="59"/>
      <c r="B86" s="46"/>
      <c r="C86" s="44"/>
      <c r="D86" s="44"/>
      <c r="E86" s="45">
        <v>0</v>
      </c>
      <c r="F86" s="42">
        <v>18</v>
      </c>
      <c r="G86" s="56">
        <f t="shared" si="8"/>
        <v>0</v>
      </c>
      <c r="H86" s="56">
        <f t="shared" si="9"/>
        <v>0</v>
      </c>
      <c r="I86" s="56">
        <f t="shared" si="10"/>
        <v>0</v>
      </c>
      <c r="J86" s="57">
        <f t="shared" si="11"/>
        <v>0</v>
      </c>
    </row>
    <row r="87" spans="1:10" x14ac:dyDescent="0.25">
      <c r="A87" s="59"/>
      <c r="B87" s="46"/>
      <c r="C87" s="44"/>
      <c r="D87" s="44"/>
      <c r="E87" s="45">
        <v>0</v>
      </c>
      <c r="F87" s="42">
        <v>18</v>
      </c>
      <c r="G87" s="56">
        <f t="shared" si="8"/>
        <v>0</v>
      </c>
      <c r="H87" s="56">
        <f t="shared" si="9"/>
        <v>0</v>
      </c>
      <c r="I87" s="56">
        <f t="shared" si="10"/>
        <v>0</v>
      </c>
      <c r="J87" s="57">
        <f t="shared" si="11"/>
        <v>0</v>
      </c>
    </row>
    <row r="88" spans="1:10" x14ac:dyDescent="0.25">
      <c r="A88" s="59"/>
      <c r="B88" s="46"/>
      <c r="C88" s="44"/>
      <c r="D88" s="44"/>
      <c r="E88" s="45">
        <v>0</v>
      </c>
      <c r="F88" s="42">
        <v>18</v>
      </c>
      <c r="G88" s="56">
        <f t="shared" si="8"/>
        <v>0</v>
      </c>
      <c r="H88" s="56">
        <f t="shared" si="9"/>
        <v>0</v>
      </c>
      <c r="I88" s="56">
        <f t="shared" si="10"/>
        <v>0</v>
      </c>
      <c r="J88" s="57">
        <f t="shared" si="11"/>
        <v>0</v>
      </c>
    </row>
    <row r="89" spans="1:10" x14ac:dyDescent="0.25">
      <c r="A89" s="59"/>
      <c r="B89" s="46"/>
      <c r="C89" s="44"/>
      <c r="D89" s="44"/>
      <c r="E89" s="45">
        <v>0</v>
      </c>
      <c r="F89" s="42">
        <v>18</v>
      </c>
      <c r="G89" s="56">
        <f t="shared" si="8"/>
        <v>0</v>
      </c>
      <c r="H89" s="56">
        <f t="shared" si="9"/>
        <v>0</v>
      </c>
      <c r="I89" s="56">
        <f t="shared" si="10"/>
        <v>0</v>
      </c>
      <c r="J89" s="57">
        <f t="shared" si="11"/>
        <v>0</v>
      </c>
    </row>
    <row r="90" spans="1:10" x14ac:dyDescent="0.25">
      <c r="A90" s="59"/>
      <c r="B90" s="46"/>
      <c r="C90" s="44"/>
      <c r="D90" s="44"/>
      <c r="E90" s="45">
        <v>0</v>
      </c>
      <c r="F90" s="42">
        <v>18</v>
      </c>
      <c r="G90" s="56">
        <f t="shared" si="8"/>
        <v>0</v>
      </c>
      <c r="H90" s="56">
        <f t="shared" si="9"/>
        <v>0</v>
      </c>
      <c r="I90" s="56">
        <f t="shared" si="10"/>
        <v>0</v>
      </c>
      <c r="J90" s="57">
        <f t="shared" si="11"/>
        <v>0</v>
      </c>
    </row>
    <row r="91" spans="1:10" x14ac:dyDescent="0.25">
      <c r="A91" s="59"/>
      <c r="B91" s="46"/>
      <c r="C91" s="44"/>
      <c r="D91" s="44"/>
      <c r="E91" s="45">
        <v>0</v>
      </c>
      <c r="F91" s="42">
        <v>18</v>
      </c>
      <c r="G91" s="56">
        <f t="shared" si="8"/>
        <v>0</v>
      </c>
      <c r="H91" s="56">
        <f t="shared" si="9"/>
        <v>0</v>
      </c>
      <c r="I91" s="56">
        <f t="shared" si="10"/>
        <v>0</v>
      </c>
      <c r="J91" s="57">
        <f t="shared" si="11"/>
        <v>0</v>
      </c>
    </row>
    <row r="92" spans="1:10" x14ac:dyDescent="0.25">
      <c r="A92" s="59"/>
      <c r="B92" s="46"/>
      <c r="C92" s="44"/>
      <c r="D92" s="44"/>
      <c r="E92" s="45">
        <v>0</v>
      </c>
      <c r="F92" s="42">
        <v>18</v>
      </c>
      <c r="G92" s="56">
        <f t="shared" si="8"/>
        <v>0</v>
      </c>
      <c r="H92" s="56">
        <f t="shared" si="9"/>
        <v>0</v>
      </c>
      <c r="I92" s="56">
        <f t="shared" si="10"/>
        <v>0</v>
      </c>
      <c r="J92" s="57">
        <f t="shared" si="11"/>
        <v>0</v>
      </c>
    </row>
    <row r="93" spans="1:10" x14ac:dyDescent="0.25">
      <c r="A93" s="59"/>
      <c r="B93" s="46"/>
      <c r="C93" s="44"/>
      <c r="D93" s="44"/>
      <c r="E93" s="45">
        <v>0</v>
      </c>
      <c r="F93" s="42">
        <v>18</v>
      </c>
      <c r="G93" s="56">
        <f t="shared" si="8"/>
        <v>0</v>
      </c>
      <c r="H93" s="56">
        <f t="shared" si="9"/>
        <v>0</v>
      </c>
      <c r="I93" s="56">
        <f t="shared" si="10"/>
        <v>0</v>
      </c>
      <c r="J93" s="57">
        <f t="shared" si="11"/>
        <v>0</v>
      </c>
    </row>
    <row r="94" spans="1:10" x14ac:dyDescent="0.25">
      <c r="A94" s="59"/>
      <c r="B94" s="46"/>
      <c r="C94" s="44"/>
      <c r="D94" s="44"/>
      <c r="E94" s="45">
        <v>0</v>
      </c>
      <c r="F94" s="42">
        <v>18</v>
      </c>
      <c r="G94" s="56">
        <f t="shared" si="8"/>
        <v>0</v>
      </c>
      <c r="H94" s="56">
        <f t="shared" si="9"/>
        <v>0</v>
      </c>
      <c r="I94" s="56">
        <f t="shared" si="10"/>
        <v>0</v>
      </c>
      <c r="J94" s="57">
        <f t="shared" si="11"/>
        <v>0</v>
      </c>
    </row>
    <row r="95" spans="1:10" x14ac:dyDescent="0.25">
      <c r="A95" s="59"/>
      <c r="B95" s="46"/>
      <c r="C95" s="44"/>
      <c r="D95" s="44"/>
      <c r="E95" s="45">
        <v>0</v>
      </c>
      <c r="F95" s="42">
        <v>18</v>
      </c>
      <c r="G95" s="56">
        <f t="shared" si="8"/>
        <v>0</v>
      </c>
      <c r="H95" s="56">
        <f t="shared" si="9"/>
        <v>0</v>
      </c>
      <c r="I95" s="56">
        <f t="shared" si="10"/>
        <v>0</v>
      </c>
      <c r="J95" s="57">
        <f t="shared" si="11"/>
        <v>0</v>
      </c>
    </row>
    <row r="96" spans="1:10" x14ac:dyDescent="0.25">
      <c r="A96" s="59"/>
      <c r="B96" s="46"/>
      <c r="C96" s="44"/>
      <c r="D96" s="44"/>
      <c r="E96" s="45">
        <v>0</v>
      </c>
      <c r="F96" s="42">
        <v>18</v>
      </c>
      <c r="G96" s="56">
        <f t="shared" si="8"/>
        <v>0</v>
      </c>
      <c r="H96" s="56">
        <f t="shared" si="9"/>
        <v>0</v>
      </c>
      <c r="I96" s="56">
        <f t="shared" si="10"/>
        <v>0</v>
      </c>
      <c r="J96" s="57">
        <f t="shared" si="11"/>
        <v>0</v>
      </c>
    </row>
    <row r="97" spans="1:10" x14ac:dyDescent="0.25">
      <c r="A97" s="59"/>
      <c r="B97" s="46"/>
      <c r="C97" s="44"/>
      <c r="D97" s="44"/>
      <c r="E97" s="45">
        <v>0</v>
      </c>
      <c r="F97" s="42">
        <v>18</v>
      </c>
      <c r="G97" s="56">
        <f t="shared" si="8"/>
        <v>0</v>
      </c>
      <c r="H97" s="56">
        <f t="shared" si="9"/>
        <v>0</v>
      </c>
      <c r="I97" s="56">
        <f t="shared" si="10"/>
        <v>0</v>
      </c>
      <c r="J97" s="57">
        <f t="shared" si="11"/>
        <v>0</v>
      </c>
    </row>
    <row r="98" spans="1:10" x14ac:dyDescent="0.25">
      <c r="A98" s="59"/>
      <c r="B98" s="46"/>
      <c r="C98" s="44"/>
      <c r="D98" s="44"/>
      <c r="E98" s="45">
        <v>0</v>
      </c>
      <c r="F98" s="42">
        <v>18</v>
      </c>
      <c r="G98" s="56">
        <f t="shared" si="8"/>
        <v>0</v>
      </c>
      <c r="H98" s="56">
        <f t="shared" si="9"/>
        <v>0</v>
      </c>
      <c r="I98" s="56">
        <f t="shared" si="10"/>
        <v>0</v>
      </c>
      <c r="J98" s="57">
        <f t="shared" si="11"/>
        <v>0</v>
      </c>
    </row>
    <row r="99" spans="1:10" x14ac:dyDescent="0.25">
      <c r="A99" s="59"/>
      <c r="B99" s="46"/>
      <c r="C99" s="44"/>
      <c r="D99" s="44"/>
      <c r="E99" s="45">
        <v>0</v>
      </c>
      <c r="F99" s="42">
        <v>18</v>
      </c>
      <c r="G99" s="56">
        <f t="shared" si="8"/>
        <v>0</v>
      </c>
      <c r="H99" s="56">
        <f t="shared" si="9"/>
        <v>0</v>
      </c>
      <c r="I99" s="56">
        <f t="shared" si="10"/>
        <v>0</v>
      </c>
      <c r="J99" s="57">
        <f t="shared" si="11"/>
        <v>0</v>
      </c>
    </row>
    <row r="100" spans="1:10" x14ac:dyDescent="0.25">
      <c r="A100" s="59"/>
      <c r="B100" s="46"/>
      <c r="C100" s="44"/>
      <c r="D100" s="44"/>
      <c r="E100" s="45">
        <v>0</v>
      </c>
      <c r="F100" s="42">
        <v>18</v>
      </c>
      <c r="G100" s="56">
        <f t="shared" si="8"/>
        <v>0</v>
      </c>
      <c r="H100" s="56">
        <f t="shared" si="9"/>
        <v>0</v>
      </c>
      <c r="I100" s="56">
        <f t="shared" si="10"/>
        <v>0</v>
      </c>
      <c r="J100" s="57">
        <f t="shared" si="11"/>
        <v>0</v>
      </c>
    </row>
    <row r="101" spans="1:10" x14ac:dyDescent="0.25">
      <c r="A101" s="59"/>
      <c r="B101" s="46"/>
      <c r="C101" s="44"/>
      <c r="D101" s="44"/>
      <c r="E101" s="45">
        <v>0</v>
      </c>
      <c r="F101" s="42">
        <v>18</v>
      </c>
      <c r="G101" s="56">
        <f t="shared" si="8"/>
        <v>0</v>
      </c>
      <c r="H101" s="56">
        <f t="shared" si="9"/>
        <v>0</v>
      </c>
      <c r="I101" s="56">
        <f t="shared" si="10"/>
        <v>0</v>
      </c>
      <c r="J101" s="57">
        <f t="shared" si="11"/>
        <v>0</v>
      </c>
    </row>
    <row r="102" spans="1:10" x14ac:dyDescent="0.25">
      <c r="A102" s="59"/>
      <c r="B102" s="46"/>
      <c r="C102" s="44"/>
      <c r="D102" s="44"/>
      <c r="E102" s="45">
        <v>0</v>
      </c>
      <c r="F102" s="42">
        <v>18</v>
      </c>
      <c r="G102" s="56">
        <f t="shared" si="8"/>
        <v>0</v>
      </c>
      <c r="H102" s="56">
        <f t="shared" si="9"/>
        <v>0</v>
      </c>
      <c r="I102" s="56">
        <f t="shared" si="10"/>
        <v>0</v>
      </c>
      <c r="J102" s="57">
        <f t="shared" si="11"/>
        <v>0</v>
      </c>
    </row>
    <row r="103" spans="1:10" x14ac:dyDescent="0.25">
      <c r="A103" s="59"/>
      <c r="B103" s="46"/>
      <c r="C103" s="44"/>
      <c r="D103" s="44"/>
      <c r="E103" s="45">
        <v>0</v>
      </c>
      <c r="F103" s="42">
        <v>18</v>
      </c>
      <c r="G103" s="56">
        <f t="shared" si="8"/>
        <v>0</v>
      </c>
      <c r="H103" s="56">
        <f t="shared" si="9"/>
        <v>0</v>
      </c>
      <c r="I103" s="56">
        <f t="shared" si="10"/>
        <v>0</v>
      </c>
      <c r="J103" s="57">
        <f t="shared" si="11"/>
        <v>0</v>
      </c>
    </row>
    <row r="104" spans="1:10" x14ac:dyDescent="0.25">
      <c r="A104" s="59"/>
      <c r="B104" s="46"/>
      <c r="C104" s="44"/>
      <c r="D104" s="44"/>
      <c r="E104" s="45">
        <v>0</v>
      </c>
      <c r="F104" s="42">
        <v>18</v>
      </c>
      <c r="G104" s="56">
        <f t="shared" si="8"/>
        <v>0</v>
      </c>
      <c r="H104" s="56">
        <f t="shared" si="9"/>
        <v>0</v>
      </c>
      <c r="I104" s="56">
        <f t="shared" si="10"/>
        <v>0</v>
      </c>
      <c r="J104" s="57">
        <f t="shared" si="11"/>
        <v>0</v>
      </c>
    </row>
    <row r="105" spans="1:10" x14ac:dyDescent="0.25">
      <c r="A105" s="59"/>
      <c r="B105" s="46"/>
      <c r="C105" s="44"/>
      <c r="D105" s="44"/>
      <c r="E105" s="45">
        <v>0</v>
      </c>
      <c r="F105" s="42">
        <v>18</v>
      </c>
      <c r="G105" s="56">
        <f t="shared" si="8"/>
        <v>0</v>
      </c>
      <c r="H105" s="56">
        <f t="shared" si="9"/>
        <v>0</v>
      </c>
      <c r="I105" s="56">
        <f t="shared" si="10"/>
        <v>0</v>
      </c>
      <c r="J105" s="57">
        <f t="shared" si="11"/>
        <v>0</v>
      </c>
    </row>
    <row r="106" spans="1:10" x14ac:dyDescent="0.25">
      <c r="A106" s="59"/>
      <c r="B106" s="46"/>
      <c r="C106" s="44"/>
      <c r="D106" s="44"/>
      <c r="E106" s="45">
        <v>0</v>
      </c>
      <c r="F106" s="42">
        <v>18</v>
      </c>
      <c r="G106" s="56">
        <f t="shared" si="8"/>
        <v>0</v>
      </c>
      <c r="H106" s="56">
        <f t="shared" si="9"/>
        <v>0</v>
      </c>
      <c r="I106" s="56">
        <f t="shared" si="10"/>
        <v>0</v>
      </c>
      <c r="J106" s="57">
        <f t="shared" si="11"/>
        <v>0</v>
      </c>
    </row>
    <row r="107" spans="1:10" x14ac:dyDescent="0.25">
      <c r="A107" s="59"/>
      <c r="B107" s="46"/>
      <c r="C107" s="44"/>
      <c r="D107" s="44"/>
      <c r="E107" s="45">
        <v>0</v>
      </c>
      <c r="F107" s="42">
        <v>18</v>
      </c>
      <c r="G107" s="56">
        <f t="shared" si="8"/>
        <v>0</v>
      </c>
      <c r="H107" s="56">
        <f t="shared" si="9"/>
        <v>0</v>
      </c>
      <c r="I107" s="56">
        <f t="shared" si="10"/>
        <v>0</v>
      </c>
      <c r="J107" s="57">
        <f t="shared" si="11"/>
        <v>0</v>
      </c>
    </row>
    <row r="108" spans="1:10" x14ac:dyDescent="0.25">
      <c r="A108" s="59"/>
      <c r="B108" s="46"/>
      <c r="C108" s="44"/>
      <c r="D108" s="44"/>
      <c r="E108" s="45">
        <v>0</v>
      </c>
      <c r="F108" s="42">
        <v>18</v>
      </c>
      <c r="G108" s="56">
        <f t="shared" si="8"/>
        <v>0</v>
      </c>
      <c r="H108" s="56">
        <f t="shared" si="9"/>
        <v>0</v>
      </c>
      <c r="I108" s="56">
        <f t="shared" si="10"/>
        <v>0</v>
      </c>
      <c r="J108" s="57">
        <f t="shared" si="11"/>
        <v>0</v>
      </c>
    </row>
    <row r="109" spans="1:10" x14ac:dyDescent="0.25">
      <c r="A109" s="59"/>
      <c r="B109" s="46"/>
      <c r="C109" s="44"/>
      <c r="D109" s="44"/>
      <c r="E109" s="45">
        <v>0</v>
      </c>
      <c r="F109" s="42">
        <v>18</v>
      </c>
      <c r="G109" s="56">
        <f t="shared" si="8"/>
        <v>0</v>
      </c>
      <c r="H109" s="56">
        <f t="shared" si="9"/>
        <v>0</v>
      </c>
      <c r="I109" s="56">
        <f t="shared" si="10"/>
        <v>0</v>
      </c>
      <c r="J109" s="57">
        <f t="shared" si="11"/>
        <v>0</v>
      </c>
    </row>
    <row r="110" spans="1:10" x14ac:dyDescent="0.25">
      <c r="A110" s="59"/>
      <c r="B110" s="46"/>
      <c r="C110" s="44"/>
      <c r="D110" s="44"/>
      <c r="E110" s="45">
        <v>0</v>
      </c>
      <c r="F110" s="42">
        <v>18</v>
      </c>
      <c r="G110" s="56">
        <f t="shared" si="8"/>
        <v>0</v>
      </c>
      <c r="H110" s="56">
        <f t="shared" si="9"/>
        <v>0</v>
      </c>
      <c r="I110" s="56">
        <f t="shared" si="10"/>
        <v>0</v>
      </c>
      <c r="J110" s="57">
        <f t="shared" si="11"/>
        <v>0</v>
      </c>
    </row>
    <row r="111" spans="1:10" x14ac:dyDescent="0.25">
      <c r="A111" s="59"/>
      <c r="B111" s="46"/>
      <c r="C111" s="44"/>
      <c r="D111" s="44"/>
      <c r="E111" s="45">
        <v>0</v>
      </c>
      <c r="F111" s="42">
        <v>18</v>
      </c>
      <c r="G111" s="56">
        <f t="shared" si="8"/>
        <v>0</v>
      </c>
      <c r="H111" s="56">
        <f t="shared" si="9"/>
        <v>0</v>
      </c>
      <c r="I111" s="56">
        <f t="shared" si="10"/>
        <v>0</v>
      </c>
      <c r="J111" s="57">
        <f t="shared" si="11"/>
        <v>0</v>
      </c>
    </row>
    <row r="112" spans="1:10" x14ac:dyDescent="0.25">
      <c r="A112" s="59"/>
      <c r="B112" s="46"/>
      <c r="C112" s="44"/>
      <c r="D112" s="44"/>
      <c r="E112" s="45">
        <v>0</v>
      </c>
      <c r="F112" s="42">
        <v>18</v>
      </c>
      <c r="G112" s="56">
        <f t="shared" si="8"/>
        <v>0</v>
      </c>
      <c r="H112" s="56">
        <f t="shared" si="9"/>
        <v>0</v>
      </c>
      <c r="I112" s="56">
        <f t="shared" si="10"/>
        <v>0</v>
      </c>
      <c r="J112" s="57">
        <f t="shared" si="11"/>
        <v>0</v>
      </c>
    </row>
    <row r="113" spans="1:10" x14ac:dyDescent="0.25">
      <c r="A113" s="59"/>
      <c r="B113" s="46"/>
      <c r="C113" s="44"/>
      <c r="D113" s="44"/>
      <c r="E113" s="45">
        <v>0</v>
      </c>
      <c r="F113" s="42">
        <v>18</v>
      </c>
      <c r="G113" s="56">
        <f t="shared" si="8"/>
        <v>0</v>
      </c>
      <c r="H113" s="56">
        <f t="shared" si="9"/>
        <v>0</v>
      </c>
      <c r="I113" s="56">
        <f t="shared" si="10"/>
        <v>0</v>
      </c>
      <c r="J113" s="57">
        <f t="shared" si="11"/>
        <v>0</v>
      </c>
    </row>
    <row r="114" spans="1:10" x14ac:dyDescent="0.25">
      <c r="A114" s="59"/>
      <c r="B114" s="46"/>
      <c r="C114" s="44"/>
      <c r="D114" s="44"/>
      <c r="E114" s="45">
        <v>0</v>
      </c>
      <c r="F114" s="42">
        <v>18</v>
      </c>
      <c r="G114" s="56">
        <f t="shared" si="8"/>
        <v>0</v>
      </c>
      <c r="H114" s="56">
        <f t="shared" si="9"/>
        <v>0</v>
      </c>
      <c r="I114" s="56">
        <f t="shared" si="10"/>
        <v>0</v>
      </c>
      <c r="J114" s="57">
        <f t="shared" si="11"/>
        <v>0</v>
      </c>
    </row>
    <row r="115" spans="1:10" x14ac:dyDescent="0.25">
      <c r="A115" s="59"/>
      <c r="B115" s="46"/>
      <c r="C115" s="44"/>
      <c r="D115" s="44"/>
      <c r="E115" s="45">
        <v>0</v>
      </c>
      <c r="F115" s="42">
        <v>18</v>
      </c>
      <c r="G115" s="56">
        <f t="shared" si="8"/>
        <v>0</v>
      </c>
      <c r="H115" s="56">
        <f t="shared" si="9"/>
        <v>0</v>
      </c>
      <c r="I115" s="56">
        <f t="shared" si="10"/>
        <v>0</v>
      </c>
      <c r="J115" s="57">
        <f t="shared" si="11"/>
        <v>0</v>
      </c>
    </row>
    <row r="116" spans="1:10" x14ac:dyDescent="0.25">
      <c r="A116" s="59"/>
      <c r="B116" s="46"/>
      <c r="C116" s="44"/>
      <c r="D116" s="44"/>
      <c r="E116" s="45">
        <v>0</v>
      </c>
      <c r="F116" s="42">
        <v>18</v>
      </c>
      <c r="G116" s="56">
        <f t="shared" si="8"/>
        <v>0</v>
      </c>
      <c r="H116" s="56">
        <f t="shared" si="9"/>
        <v>0</v>
      </c>
      <c r="I116" s="56">
        <f t="shared" si="10"/>
        <v>0</v>
      </c>
      <c r="J116" s="57">
        <f t="shared" si="11"/>
        <v>0</v>
      </c>
    </row>
    <row r="117" spans="1:10" x14ac:dyDescent="0.25">
      <c r="A117" s="59"/>
      <c r="B117" s="46"/>
      <c r="C117" s="44"/>
      <c r="D117" s="44"/>
      <c r="E117" s="45">
        <v>0</v>
      </c>
      <c r="F117" s="42">
        <v>18</v>
      </c>
      <c r="G117" s="56">
        <f t="shared" si="8"/>
        <v>0</v>
      </c>
      <c r="H117" s="56">
        <f t="shared" si="9"/>
        <v>0</v>
      </c>
      <c r="I117" s="56">
        <f t="shared" si="10"/>
        <v>0</v>
      </c>
      <c r="J117" s="57">
        <f t="shared" si="11"/>
        <v>0</v>
      </c>
    </row>
    <row r="118" spans="1:10" x14ac:dyDescent="0.25">
      <c r="A118" s="59"/>
      <c r="B118" s="46"/>
      <c r="C118" s="44"/>
      <c r="D118" s="44"/>
      <c r="E118" s="45">
        <v>0</v>
      </c>
      <c r="F118" s="42">
        <v>18</v>
      </c>
      <c r="G118" s="56">
        <f t="shared" si="8"/>
        <v>0</v>
      </c>
      <c r="H118" s="56">
        <f t="shared" si="9"/>
        <v>0</v>
      </c>
      <c r="I118" s="56">
        <f t="shared" si="10"/>
        <v>0</v>
      </c>
      <c r="J118" s="57">
        <f t="shared" si="11"/>
        <v>0</v>
      </c>
    </row>
    <row r="119" spans="1:10" x14ac:dyDescent="0.25">
      <c r="A119" s="59"/>
      <c r="B119" s="46"/>
      <c r="C119" s="44"/>
      <c r="D119" s="44"/>
      <c r="E119" s="45">
        <v>0</v>
      </c>
      <c r="F119" s="42">
        <v>18</v>
      </c>
      <c r="G119" s="56">
        <f t="shared" si="8"/>
        <v>0</v>
      </c>
      <c r="H119" s="56">
        <f t="shared" si="9"/>
        <v>0</v>
      </c>
      <c r="I119" s="56">
        <f t="shared" si="10"/>
        <v>0</v>
      </c>
      <c r="J119" s="57">
        <f t="shared" si="11"/>
        <v>0</v>
      </c>
    </row>
    <row r="120" spans="1:10" x14ac:dyDescent="0.25">
      <c r="A120" s="59"/>
      <c r="B120" s="46"/>
      <c r="C120" s="44"/>
      <c r="D120" s="44"/>
      <c r="E120" s="45">
        <v>0</v>
      </c>
      <c r="F120" s="42">
        <v>18</v>
      </c>
      <c r="G120" s="56">
        <f t="shared" si="8"/>
        <v>0</v>
      </c>
      <c r="H120" s="56">
        <f t="shared" si="9"/>
        <v>0</v>
      </c>
      <c r="I120" s="56">
        <f t="shared" si="10"/>
        <v>0</v>
      </c>
      <c r="J120" s="57">
        <f t="shared" si="11"/>
        <v>0</v>
      </c>
    </row>
    <row r="121" spans="1:10" x14ac:dyDescent="0.25">
      <c r="A121" s="59"/>
      <c r="B121" s="46"/>
      <c r="C121" s="44"/>
      <c r="D121" s="44"/>
      <c r="E121" s="45">
        <v>0</v>
      </c>
      <c r="F121" s="42">
        <v>18</v>
      </c>
      <c r="G121" s="56">
        <f t="shared" si="8"/>
        <v>0</v>
      </c>
      <c r="H121" s="56">
        <f t="shared" si="9"/>
        <v>0</v>
      </c>
      <c r="I121" s="56">
        <f t="shared" si="10"/>
        <v>0</v>
      </c>
      <c r="J121" s="57">
        <f t="shared" si="11"/>
        <v>0</v>
      </c>
    </row>
    <row r="122" spans="1:10" x14ac:dyDescent="0.25">
      <c r="A122" s="59"/>
      <c r="B122" s="46"/>
      <c r="C122" s="44"/>
      <c r="D122" s="44"/>
      <c r="E122" s="45">
        <v>0</v>
      </c>
      <c r="F122" s="42">
        <v>18</v>
      </c>
      <c r="G122" s="56">
        <f t="shared" si="8"/>
        <v>0</v>
      </c>
      <c r="H122" s="56">
        <f t="shared" si="9"/>
        <v>0</v>
      </c>
      <c r="I122" s="56">
        <f t="shared" si="10"/>
        <v>0</v>
      </c>
      <c r="J122" s="57">
        <f t="shared" si="11"/>
        <v>0</v>
      </c>
    </row>
    <row r="123" spans="1:10" x14ac:dyDescent="0.25">
      <c r="A123" s="59"/>
      <c r="B123" s="46"/>
      <c r="C123" s="44"/>
      <c r="D123" s="44"/>
      <c r="E123" s="45">
        <v>0</v>
      </c>
      <c r="F123" s="42">
        <v>18</v>
      </c>
      <c r="G123" s="56">
        <f t="shared" si="8"/>
        <v>0</v>
      </c>
      <c r="H123" s="56">
        <f t="shared" si="9"/>
        <v>0</v>
      </c>
      <c r="I123" s="56">
        <f t="shared" si="10"/>
        <v>0</v>
      </c>
      <c r="J123" s="57">
        <f t="shared" si="11"/>
        <v>0</v>
      </c>
    </row>
    <row r="124" spans="1:10" x14ac:dyDescent="0.25">
      <c r="A124" s="59"/>
      <c r="B124" s="46"/>
      <c r="C124" s="44"/>
      <c r="D124" s="44"/>
      <c r="E124" s="45">
        <v>0</v>
      </c>
      <c r="F124" s="42">
        <v>18</v>
      </c>
      <c r="G124" s="56">
        <f t="shared" si="8"/>
        <v>0</v>
      </c>
      <c r="H124" s="56">
        <f t="shared" si="9"/>
        <v>0</v>
      </c>
      <c r="I124" s="56">
        <f t="shared" si="10"/>
        <v>0</v>
      </c>
      <c r="J124" s="57">
        <f t="shared" si="11"/>
        <v>0</v>
      </c>
    </row>
    <row r="125" spans="1:10" x14ac:dyDescent="0.25">
      <c r="A125" s="59"/>
      <c r="B125" s="46"/>
      <c r="C125" s="44"/>
      <c r="D125" s="44"/>
      <c r="E125" s="45">
        <v>0</v>
      </c>
      <c r="F125" s="42">
        <v>18</v>
      </c>
      <c r="G125" s="56">
        <f t="shared" si="8"/>
        <v>0</v>
      </c>
      <c r="H125" s="56">
        <f t="shared" si="9"/>
        <v>0</v>
      </c>
      <c r="I125" s="56">
        <f t="shared" si="10"/>
        <v>0</v>
      </c>
      <c r="J125" s="57">
        <f t="shared" si="11"/>
        <v>0</v>
      </c>
    </row>
    <row r="126" spans="1:10" x14ac:dyDescent="0.25">
      <c r="A126" s="59"/>
      <c r="B126" s="46"/>
      <c r="C126" s="44"/>
      <c r="D126" s="44"/>
      <c r="E126" s="45">
        <v>0</v>
      </c>
      <c r="F126" s="42">
        <v>18</v>
      </c>
      <c r="G126" s="56">
        <f t="shared" si="8"/>
        <v>0</v>
      </c>
      <c r="H126" s="56">
        <f t="shared" si="9"/>
        <v>0</v>
      </c>
      <c r="I126" s="56">
        <f t="shared" si="10"/>
        <v>0</v>
      </c>
      <c r="J126" s="57">
        <f t="shared" si="11"/>
        <v>0</v>
      </c>
    </row>
    <row r="127" spans="1:10" x14ac:dyDescent="0.25">
      <c r="A127" s="59"/>
      <c r="B127" s="46"/>
      <c r="C127" s="44"/>
      <c r="D127" s="44"/>
      <c r="E127" s="45">
        <v>0</v>
      </c>
      <c r="F127" s="42">
        <v>18</v>
      </c>
      <c r="G127" s="56">
        <f t="shared" si="8"/>
        <v>0</v>
      </c>
      <c r="H127" s="56">
        <f t="shared" si="9"/>
        <v>0</v>
      </c>
      <c r="I127" s="56">
        <f t="shared" si="10"/>
        <v>0</v>
      </c>
      <c r="J127" s="57">
        <f t="shared" si="11"/>
        <v>0</v>
      </c>
    </row>
    <row r="128" spans="1:10" x14ac:dyDescent="0.25">
      <c r="A128" s="59"/>
      <c r="B128" s="46"/>
      <c r="C128" s="44"/>
      <c r="D128" s="44"/>
      <c r="E128" s="45">
        <v>0</v>
      </c>
      <c r="F128" s="42">
        <v>18</v>
      </c>
      <c r="G128" s="56">
        <f t="shared" si="8"/>
        <v>0</v>
      </c>
      <c r="H128" s="56">
        <f t="shared" si="9"/>
        <v>0</v>
      </c>
      <c r="I128" s="56">
        <f t="shared" si="10"/>
        <v>0</v>
      </c>
      <c r="J128" s="57">
        <f t="shared" si="11"/>
        <v>0</v>
      </c>
    </row>
    <row r="129" spans="1:10" x14ac:dyDescent="0.25">
      <c r="A129" s="59"/>
      <c r="B129" s="46"/>
      <c r="C129" s="44"/>
      <c r="D129" s="44"/>
      <c r="E129" s="45">
        <v>0</v>
      </c>
      <c r="F129" s="42">
        <v>18</v>
      </c>
      <c r="G129" s="56">
        <f t="shared" si="8"/>
        <v>0</v>
      </c>
      <c r="H129" s="56">
        <f t="shared" si="9"/>
        <v>0</v>
      </c>
      <c r="I129" s="56">
        <f t="shared" si="10"/>
        <v>0</v>
      </c>
      <c r="J129" s="57">
        <f t="shared" si="11"/>
        <v>0</v>
      </c>
    </row>
    <row r="130" spans="1:10" x14ac:dyDescent="0.25">
      <c r="A130" s="59"/>
      <c r="B130" s="46"/>
      <c r="C130" s="44"/>
      <c r="D130" s="44"/>
      <c r="E130" s="45">
        <v>0</v>
      </c>
      <c r="F130" s="42">
        <v>18</v>
      </c>
      <c r="G130" s="56">
        <f t="shared" si="8"/>
        <v>0</v>
      </c>
      <c r="H130" s="56">
        <f t="shared" si="9"/>
        <v>0</v>
      </c>
      <c r="I130" s="56">
        <f t="shared" si="10"/>
        <v>0</v>
      </c>
      <c r="J130" s="57">
        <f t="shared" si="11"/>
        <v>0</v>
      </c>
    </row>
    <row r="131" spans="1:10" x14ac:dyDescent="0.25">
      <c r="A131" s="59"/>
      <c r="B131" s="46"/>
      <c r="C131" s="44"/>
      <c r="D131" s="44"/>
      <c r="E131" s="45">
        <v>0</v>
      </c>
      <c r="F131" s="42">
        <v>18</v>
      </c>
      <c r="G131" s="56">
        <f t="shared" ref="G131:G194" si="12">ROUND((E131*F131%)/2,)</f>
        <v>0</v>
      </c>
      <c r="H131" s="56">
        <f t="shared" ref="H131:H194" si="13">G131</f>
        <v>0</v>
      </c>
      <c r="I131" s="56">
        <f t="shared" ref="I131:I194" si="14">G131+H131</f>
        <v>0</v>
      </c>
      <c r="J131" s="57">
        <f t="shared" ref="J131:J194" si="15">E131+I131</f>
        <v>0</v>
      </c>
    </row>
    <row r="132" spans="1:10" x14ac:dyDescent="0.25">
      <c r="A132" s="59"/>
      <c r="B132" s="46"/>
      <c r="C132" s="44"/>
      <c r="D132" s="44"/>
      <c r="E132" s="45">
        <v>0</v>
      </c>
      <c r="F132" s="42">
        <v>18</v>
      </c>
      <c r="G132" s="56">
        <f t="shared" si="12"/>
        <v>0</v>
      </c>
      <c r="H132" s="56">
        <f t="shared" si="13"/>
        <v>0</v>
      </c>
      <c r="I132" s="56">
        <f t="shared" si="14"/>
        <v>0</v>
      </c>
      <c r="J132" s="57">
        <f t="shared" si="15"/>
        <v>0</v>
      </c>
    </row>
    <row r="133" spans="1:10" x14ac:dyDescent="0.25">
      <c r="A133" s="59"/>
      <c r="B133" s="46"/>
      <c r="C133" s="44"/>
      <c r="D133" s="44"/>
      <c r="E133" s="45">
        <v>0</v>
      </c>
      <c r="F133" s="42">
        <v>18</v>
      </c>
      <c r="G133" s="56">
        <f t="shared" si="12"/>
        <v>0</v>
      </c>
      <c r="H133" s="56">
        <f t="shared" si="13"/>
        <v>0</v>
      </c>
      <c r="I133" s="56">
        <f t="shared" si="14"/>
        <v>0</v>
      </c>
      <c r="J133" s="57">
        <f t="shared" si="15"/>
        <v>0</v>
      </c>
    </row>
    <row r="134" spans="1:10" x14ac:dyDescent="0.25">
      <c r="A134" s="59"/>
      <c r="B134" s="46"/>
      <c r="C134" s="44"/>
      <c r="D134" s="44"/>
      <c r="E134" s="45">
        <v>0</v>
      </c>
      <c r="F134" s="42">
        <v>18</v>
      </c>
      <c r="G134" s="56">
        <f t="shared" si="12"/>
        <v>0</v>
      </c>
      <c r="H134" s="56">
        <f t="shared" si="13"/>
        <v>0</v>
      </c>
      <c r="I134" s="56">
        <f t="shared" si="14"/>
        <v>0</v>
      </c>
      <c r="J134" s="57">
        <f t="shared" si="15"/>
        <v>0</v>
      </c>
    </row>
    <row r="135" spans="1:10" x14ac:dyDescent="0.25">
      <c r="A135" s="59"/>
      <c r="B135" s="46"/>
      <c r="C135" s="44"/>
      <c r="D135" s="44"/>
      <c r="E135" s="45">
        <v>0</v>
      </c>
      <c r="F135" s="42">
        <v>18</v>
      </c>
      <c r="G135" s="56">
        <f t="shared" si="12"/>
        <v>0</v>
      </c>
      <c r="H135" s="56">
        <f t="shared" si="13"/>
        <v>0</v>
      </c>
      <c r="I135" s="56">
        <f t="shared" si="14"/>
        <v>0</v>
      </c>
      <c r="J135" s="57">
        <f t="shared" si="15"/>
        <v>0</v>
      </c>
    </row>
    <row r="136" spans="1:10" x14ac:dyDescent="0.25">
      <c r="A136" s="59"/>
      <c r="B136" s="46"/>
      <c r="C136" s="44"/>
      <c r="D136" s="44"/>
      <c r="E136" s="45">
        <v>0</v>
      </c>
      <c r="F136" s="42">
        <v>18</v>
      </c>
      <c r="G136" s="56">
        <f t="shared" si="12"/>
        <v>0</v>
      </c>
      <c r="H136" s="56">
        <f t="shared" si="13"/>
        <v>0</v>
      </c>
      <c r="I136" s="56">
        <f t="shared" si="14"/>
        <v>0</v>
      </c>
      <c r="J136" s="57">
        <f t="shared" si="15"/>
        <v>0</v>
      </c>
    </row>
    <row r="137" spans="1:10" x14ac:dyDescent="0.25">
      <c r="A137" s="59"/>
      <c r="B137" s="46"/>
      <c r="C137" s="44"/>
      <c r="D137" s="44"/>
      <c r="E137" s="45">
        <v>0</v>
      </c>
      <c r="F137" s="42">
        <v>18</v>
      </c>
      <c r="G137" s="56">
        <f t="shared" si="12"/>
        <v>0</v>
      </c>
      <c r="H137" s="56">
        <f t="shared" si="13"/>
        <v>0</v>
      </c>
      <c r="I137" s="56">
        <f t="shared" si="14"/>
        <v>0</v>
      </c>
      <c r="J137" s="57">
        <f t="shared" si="15"/>
        <v>0</v>
      </c>
    </row>
    <row r="138" spans="1:10" x14ac:dyDescent="0.25">
      <c r="A138" s="59"/>
      <c r="B138" s="46"/>
      <c r="C138" s="44"/>
      <c r="D138" s="44"/>
      <c r="E138" s="45">
        <v>0</v>
      </c>
      <c r="F138" s="42">
        <v>18</v>
      </c>
      <c r="G138" s="56">
        <f t="shared" si="12"/>
        <v>0</v>
      </c>
      <c r="H138" s="56">
        <f t="shared" si="13"/>
        <v>0</v>
      </c>
      <c r="I138" s="56">
        <f t="shared" si="14"/>
        <v>0</v>
      </c>
      <c r="J138" s="57">
        <f t="shared" si="15"/>
        <v>0</v>
      </c>
    </row>
    <row r="139" spans="1:10" x14ac:dyDescent="0.25">
      <c r="A139" s="59"/>
      <c r="B139" s="46"/>
      <c r="C139" s="44"/>
      <c r="D139" s="44"/>
      <c r="E139" s="45">
        <v>0</v>
      </c>
      <c r="F139" s="42">
        <v>18</v>
      </c>
      <c r="G139" s="56">
        <f t="shared" si="12"/>
        <v>0</v>
      </c>
      <c r="H139" s="56">
        <f t="shared" si="13"/>
        <v>0</v>
      </c>
      <c r="I139" s="56">
        <f t="shared" si="14"/>
        <v>0</v>
      </c>
      <c r="J139" s="57">
        <f t="shared" si="15"/>
        <v>0</v>
      </c>
    </row>
    <row r="140" spans="1:10" x14ac:dyDescent="0.25">
      <c r="A140" s="59"/>
      <c r="B140" s="46"/>
      <c r="C140" s="44"/>
      <c r="D140" s="44"/>
      <c r="E140" s="45">
        <v>0</v>
      </c>
      <c r="F140" s="42">
        <v>18</v>
      </c>
      <c r="G140" s="56">
        <f t="shared" si="12"/>
        <v>0</v>
      </c>
      <c r="H140" s="56">
        <f t="shared" si="13"/>
        <v>0</v>
      </c>
      <c r="I140" s="56">
        <f t="shared" si="14"/>
        <v>0</v>
      </c>
      <c r="J140" s="57">
        <f t="shared" si="15"/>
        <v>0</v>
      </c>
    </row>
    <row r="141" spans="1:10" x14ac:dyDescent="0.25">
      <c r="A141" s="59"/>
      <c r="B141" s="46"/>
      <c r="C141" s="44"/>
      <c r="D141" s="44"/>
      <c r="E141" s="45">
        <v>0</v>
      </c>
      <c r="F141" s="42">
        <v>18</v>
      </c>
      <c r="G141" s="56">
        <f t="shared" si="12"/>
        <v>0</v>
      </c>
      <c r="H141" s="56">
        <f t="shared" si="13"/>
        <v>0</v>
      </c>
      <c r="I141" s="56">
        <f t="shared" si="14"/>
        <v>0</v>
      </c>
      <c r="J141" s="57">
        <f t="shared" si="15"/>
        <v>0</v>
      </c>
    </row>
    <row r="142" spans="1:10" x14ac:dyDescent="0.25">
      <c r="A142" s="59"/>
      <c r="B142" s="46"/>
      <c r="C142" s="44"/>
      <c r="D142" s="44"/>
      <c r="E142" s="45">
        <v>0</v>
      </c>
      <c r="F142" s="42">
        <v>18</v>
      </c>
      <c r="G142" s="56">
        <f t="shared" si="12"/>
        <v>0</v>
      </c>
      <c r="H142" s="56">
        <f t="shared" si="13"/>
        <v>0</v>
      </c>
      <c r="I142" s="56">
        <f t="shared" si="14"/>
        <v>0</v>
      </c>
      <c r="J142" s="57">
        <f t="shared" si="15"/>
        <v>0</v>
      </c>
    </row>
    <row r="143" spans="1:10" x14ac:dyDescent="0.25">
      <c r="A143" s="59"/>
      <c r="B143" s="46"/>
      <c r="C143" s="44"/>
      <c r="D143" s="44"/>
      <c r="E143" s="45">
        <v>0</v>
      </c>
      <c r="F143" s="42">
        <v>18</v>
      </c>
      <c r="G143" s="56">
        <f t="shared" si="12"/>
        <v>0</v>
      </c>
      <c r="H143" s="56">
        <f t="shared" si="13"/>
        <v>0</v>
      </c>
      <c r="I143" s="56">
        <f t="shared" si="14"/>
        <v>0</v>
      </c>
      <c r="J143" s="57">
        <f t="shared" si="15"/>
        <v>0</v>
      </c>
    </row>
    <row r="144" spans="1:10" x14ac:dyDescent="0.25">
      <c r="A144" s="59"/>
      <c r="B144" s="46"/>
      <c r="C144" s="44"/>
      <c r="D144" s="44"/>
      <c r="E144" s="45">
        <v>0</v>
      </c>
      <c r="F144" s="42">
        <v>18</v>
      </c>
      <c r="G144" s="56">
        <f t="shared" si="12"/>
        <v>0</v>
      </c>
      <c r="H144" s="56">
        <f t="shared" si="13"/>
        <v>0</v>
      </c>
      <c r="I144" s="56">
        <f t="shared" si="14"/>
        <v>0</v>
      </c>
      <c r="J144" s="57">
        <f t="shared" si="15"/>
        <v>0</v>
      </c>
    </row>
    <row r="145" spans="1:10" x14ac:dyDescent="0.25">
      <c r="A145" s="59"/>
      <c r="B145" s="46"/>
      <c r="C145" s="44"/>
      <c r="D145" s="44"/>
      <c r="E145" s="45">
        <v>0</v>
      </c>
      <c r="F145" s="42">
        <v>18</v>
      </c>
      <c r="G145" s="56">
        <f t="shared" si="12"/>
        <v>0</v>
      </c>
      <c r="H145" s="56">
        <f t="shared" si="13"/>
        <v>0</v>
      </c>
      <c r="I145" s="56">
        <f t="shared" si="14"/>
        <v>0</v>
      </c>
      <c r="J145" s="57">
        <f t="shared" si="15"/>
        <v>0</v>
      </c>
    </row>
    <row r="146" spans="1:10" x14ac:dyDescent="0.25">
      <c r="A146" s="59"/>
      <c r="B146" s="46"/>
      <c r="C146" s="44"/>
      <c r="D146" s="44"/>
      <c r="E146" s="45">
        <v>0</v>
      </c>
      <c r="F146" s="42">
        <v>18</v>
      </c>
      <c r="G146" s="56">
        <f t="shared" si="12"/>
        <v>0</v>
      </c>
      <c r="H146" s="56">
        <f t="shared" si="13"/>
        <v>0</v>
      </c>
      <c r="I146" s="56">
        <f t="shared" si="14"/>
        <v>0</v>
      </c>
      <c r="J146" s="57">
        <f t="shared" si="15"/>
        <v>0</v>
      </c>
    </row>
    <row r="147" spans="1:10" x14ac:dyDescent="0.25">
      <c r="A147" s="59"/>
      <c r="B147" s="46"/>
      <c r="C147" s="44"/>
      <c r="D147" s="44"/>
      <c r="E147" s="45">
        <v>0</v>
      </c>
      <c r="F147" s="42">
        <v>18</v>
      </c>
      <c r="G147" s="56">
        <f t="shared" si="12"/>
        <v>0</v>
      </c>
      <c r="H147" s="56">
        <f t="shared" si="13"/>
        <v>0</v>
      </c>
      <c r="I147" s="56">
        <f t="shared" si="14"/>
        <v>0</v>
      </c>
      <c r="J147" s="57">
        <f t="shared" si="15"/>
        <v>0</v>
      </c>
    </row>
    <row r="148" spans="1:10" x14ac:dyDescent="0.25">
      <c r="A148" s="59"/>
      <c r="B148" s="46"/>
      <c r="C148" s="44"/>
      <c r="D148" s="44"/>
      <c r="E148" s="45">
        <v>0</v>
      </c>
      <c r="F148" s="42">
        <v>18</v>
      </c>
      <c r="G148" s="56">
        <f t="shared" si="12"/>
        <v>0</v>
      </c>
      <c r="H148" s="56">
        <f t="shared" si="13"/>
        <v>0</v>
      </c>
      <c r="I148" s="56">
        <f t="shared" si="14"/>
        <v>0</v>
      </c>
      <c r="J148" s="57">
        <f t="shared" si="15"/>
        <v>0</v>
      </c>
    </row>
    <row r="149" spans="1:10" x14ac:dyDescent="0.25">
      <c r="A149" s="59"/>
      <c r="B149" s="46"/>
      <c r="C149" s="44"/>
      <c r="D149" s="44"/>
      <c r="E149" s="45">
        <v>0</v>
      </c>
      <c r="F149" s="42">
        <v>18</v>
      </c>
      <c r="G149" s="56">
        <f t="shared" si="12"/>
        <v>0</v>
      </c>
      <c r="H149" s="56">
        <f t="shared" si="13"/>
        <v>0</v>
      </c>
      <c r="I149" s="56">
        <f t="shared" si="14"/>
        <v>0</v>
      </c>
      <c r="J149" s="57">
        <f t="shared" si="15"/>
        <v>0</v>
      </c>
    </row>
    <row r="150" spans="1:10" x14ac:dyDescent="0.25">
      <c r="A150" s="59"/>
      <c r="B150" s="46"/>
      <c r="C150" s="44"/>
      <c r="D150" s="44"/>
      <c r="E150" s="45">
        <v>0</v>
      </c>
      <c r="F150" s="42">
        <v>18</v>
      </c>
      <c r="G150" s="56">
        <f t="shared" si="12"/>
        <v>0</v>
      </c>
      <c r="H150" s="56">
        <f t="shared" si="13"/>
        <v>0</v>
      </c>
      <c r="I150" s="56">
        <f t="shared" si="14"/>
        <v>0</v>
      </c>
      <c r="J150" s="57">
        <f t="shared" si="15"/>
        <v>0</v>
      </c>
    </row>
    <row r="151" spans="1:10" x14ac:dyDescent="0.25">
      <c r="A151" s="59"/>
      <c r="B151" s="46"/>
      <c r="C151" s="44"/>
      <c r="D151" s="44"/>
      <c r="E151" s="45">
        <v>0</v>
      </c>
      <c r="F151" s="42">
        <v>18</v>
      </c>
      <c r="G151" s="56">
        <f t="shared" si="12"/>
        <v>0</v>
      </c>
      <c r="H151" s="56">
        <f t="shared" si="13"/>
        <v>0</v>
      </c>
      <c r="I151" s="56">
        <f t="shared" si="14"/>
        <v>0</v>
      </c>
      <c r="J151" s="57">
        <f t="shared" si="15"/>
        <v>0</v>
      </c>
    </row>
    <row r="152" spans="1:10" x14ac:dyDescent="0.25">
      <c r="A152" s="59"/>
      <c r="B152" s="46"/>
      <c r="C152" s="44"/>
      <c r="D152" s="44"/>
      <c r="E152" s="45">
        <v>0</v>
      </c>
      <c r="F152" s="42">
        <v>18</v>
      </c>
      <c r="G152" s="56">
        <f t="shared" si="12"/>
        <v>0</v>
      </c>
      <c r="H152" s="56">
        <f t="shared" si="13"/>
        <v>0</v>
      </c>
      <c r="I152" s="56">
        <f t="shared" si="14"/>
        <v>0</v>
      </c>
      <c r="J152" s="57">
        <f t="shared" si="15"/>
        <v>0</v>
      </c>
    </row>
    <row r="153" spans="1:10" x14ac:dyDescent="0.25">
      <c r="A153" s="59"/>
      <c r="B153" s="46"/>
      <c r="C153" s="44"/>
      <c r="D153" s="44"/>
      <c r="E153" s="45">
        <v>0</v>
      </c>
      <c r="F153" s="42">
        <v>18</v>
      </c>
      <c r="G153" s="56">
        <f t="shared" si="12"/>
        <v>0</v>
      </c>
      <c r="H153" s="56">
        <f t="shared" si="13"/>
        <v>0</v>
      </c>
      <c r="I153" s="56">
        <f t="shared" si="14"/>
        <v>0</v>
      </c>
      <c r="J153" s="57">
        <f t="shared" si="15"/>
        <v>0</v>
      </c>
    </row>
    <row r="154" spans="1:10" x14ac:dyDescent="0.25">
      <c r="A154" s="59"/>
      <c r="B154" s="46"/>
      <c r="C154" s="44"/>
      <c r="D154" s="44"/>
      <c r="E154" s="45">
        <v>0</v>
      </c>
      <c r="F154" s="42">
        <v>18</v>
      </c>
      <c r="G154" s="56">
        <f t="shared" si="12"/>
        <v>0</v>
      </c>
      <c r="H154" s="56">
        <f t="shared" si="13"/>
        <v>0</v>
      </c>
      <c r="I154" s="56">
        <f t="shared" si="14"/>
        <v>0</v>
      </c>
      <c r="J154" s="57">
        <f t="shared" si="15"/>
        <v>0</v>
      </c>
    </row>
    <row r="155" spans="1:10" x14ac:dyDescent="0.25">
      <c r="A155" s="59"/>
      <c r="B155" s="46"/>
      <c r="C155" s="44"/>
      <c r="D155" s="44"/>
      <c r="E155" s="45">
        <v>0</v>
      </c>
      <c r="F155" s="42">
        <v>18</v>
      </c>
      <c r="G155" s="56">
        <f t="shared" si="12"/>
        <v>0</v>
      </c>
      <c r="H155" s="56">
        <f t="shared" si="13"/>
        <v>0</v>
      </c>
      <c r="I155" s="56">
        <f t="shared" si="14"/>
        <v>0</v>
      </c>
      <c r="J155" s="57">
        <f t="shared" si="15"/>
        <v>0</v>
      </c>
    </row>
    <row r="156" spans="1:10" x14ac:dyDescent="0.25">
      <c r="A156" s="59"/>
      <c r="B156" s="46"/>
      <c r="C156" s="44"/>
      <c r="D156" s="44"/>
      <c r="E156" s="45">
        <v>0</v>
      </c>
      <c r="F156" s="42">
        <v>18</v>
      </c>
      <c r="G156" s="56">
        <f t="shared" si="12"/>
        <v>0</v>
      </c>
      <c r="H156" s="56">
        <f t="shared" si="13"/>
        <v>0</v>
      </c>
      <c r="I156" s="56">
        <f t="shared" si="14"/>
        <v>0</v>
      </c>
      <c r="J156" s="57">
        <f t="shared" si="15"/>
        <v>0</v>
      </c>
    </row>
    <row r="157" spans="1:10" x14ac:dyDescent="0.25">
      <c r="A157" s="59"/>
      <c r="B157" s="46"/>
      <c r="C157" s="44"/>
      <c r="D157" s="44"/>
      <c r="E157" s="45">
        <v>0</v>
      </c>
      <c r="F157" s="42">
        <v>18</v>
      </c>
      <c r="G157" s="56">
        <f t="shared" si="12"/>
        <v>0</v>
      </c>
      <c r="H157" s="56">
        <f t="shared" si="13"/>
        <v>0</v>
      </c>
      <c r="I157" s="56">
        <f t="shared" si="14"/>
        <v>0</v>
      </c>
      <c r="J157" s="57">
        <f t="shared" si="15"/>
        <v>0</v>
      </c>
    </row>
    <row r="158" spans="1:10" x14ac:dyDescent="0.25">
      <c r="A158" s="59"/>
      <c r="B158" s="46"/>
      <c r="C158" s="44"/>
      <c r="D158" s="44"/>
      <c r="E158" s="45">
        <v>0</v>
      </c>
      <c r="F158" s="42">
        <v>18</v>
      </c>
      <c r="G158" s="56">
        <f t="shared" si="12"/>
        <v>0</v>
      </c>
      <c r="H158" s="56">
        <f t="shared" si="13"/>
        <v>0</v>
      </c>
      <c r="I158" s="56">
        <f t="shared" si="14"/>
        <v>0</v>
      </c>
      <c r="J158" s="57">
        <f t="shared" si="15"/>
        <v>0</v>
      </c>
    </row>
    <row r="159" spans="1:10" x14ac:dyDescent="0.25">
      <c r="A159" s="59"/>
      <c r="B159" s="46"/>
      <c r="C159" s="44"/>
      <c r="D159" s="44"/>
      <c r="E159" s="45">
        <v>0</v>
      </c>
      <c r="F159" s="42">
        <v>18</v>
      </c>
      <c r="G159" s="56">
        <f t="shared" si="12"/>
        <v>0</v>
      </c>
      <c r="H159" s="56">
        <f t="shared" si="13"/>
        <v>0</v>
      </c>
      <c r="I159" s="56">
        <f t="shared" si="14"/>
        <v>0</v>
      </c>
      <c r="J159" s="57">
        <f t="shared" si="15"/>
        <v>0</v>
      </c>
    </row>
    <row r="160" spans="1:10" x14ac:dyDescent="0.25">
      <c r="A160" s="59"/>
      <c r="B160" s="46"/>
      <c r="C160" s="44"/>
      <c r="D160" s="44"/>
      <c r="E160" s="45">
        <v>0</v>
      </c>
      <c r="F160" s="42">
        <v>18</v>
      </c>
      <c r="G160" s="56">
        <f t="shared" si="12"/>
        <v>0</v>
      </c>
      <c r="H160" s="56">
        <f t="shared" si="13"/>
        <v>0</v>
      </c>
      <c r="I160" s="56">
        <f t="shared" si="14"/>
        <v>0</v>
      </c>
      <c r="J160" s="57">
        <f t="shared" si="15"/>
        <v>0</v>
      </c>
    </row>
    <row r="161" spans="1:10" x14ac:dyDescent="0.25">
      <c r="A161" s="59"/>
      <c r="B161" s="46"/>
      <c r="C161" s="44"/>
      <c r="D161" s="44"/>
      <c r="E161" s="45">
        <v>0</v>
      </c>
      <c r="F161" s="42">
        <v>18</v>
      </c>
      <c r="G161" s="56">
        <f t="shared" si="12"/>
        <v>0</v>
      </c>
      <c r="H161" s="56">
        <f t="shared" si="13"/>
        <v>0</v>
      </c>
      <c r="I161" s="56">
        <f t="shared" si="14"/>
        <v>0</v>
      </c>
      <c r="J161" s="57">
        <f t="shared" si="15"/>
        <v>0</v>
      </c>
    </row>
    <row r="162" spans="1:10" x14ac:dyDescent="0.25">
      <c r="A162" s="59"/>
      <c r="B162" s="46"/>
      <c r="C162" s="44"/>
      <c r="D162" s="44"/>
      <c r="E162" s="45">
        <v>0</v>
      </c>
      <c r="F162" s="42">
        <v>18</v>
      </c>
      <c r="G162" s="56">
        <f t="shared" si="12"/>
        <v>0</v>
      </c>
      <c r="H162" s="56">
        <f t="shared" si="13"/>
        <v>0</v>
      </c>
      <c r="I162" s="56">
        <f t="shared" si="14"/>
        <v>0</v>
      </c>
      <c r="J162" s="57">
        <f t="shared" si="15"/>
        <v>0</v>
      </c>
    </row>
    <row r="163" spans="1:10" x14ac:dyDescent="0.25">
      <c r="A163" s="59"/>
      <c r="B163" s="46"/>
      <c r="C163" s="44"/>
      <c r="D163" s="44"/>
      <c r="E163" s="45">
        <v>0</v>
      </c>
      <c r="F163" s="42">
        <v>18</v>
      </c>
      <c r="G163" s="56">
        <f t="shared" si="12"/>
        <v>0</v>
      </c>
      <c r="H163" s="56">
        <f t="shared" si="13"/>
        <v>0</v>
      </c>
      <c r="I163" s="56">
        <f t="shared" si="14"/>
        <v>0</v>
      </c>
      <c r="J163" s="57">
        <f t="shared" si="15"/>
        <v>0</v>
      </c>
    </row>
    <row r="164" spans="1:10" x14ac:dyDescent="0.25">
      <c r="A164" s="59"/>
      <c r="B164" s="46"/>
      <c r="C164" s="44"/>
      <c r="D164" s="44"/>
      <c r="E164" s="45">
        <v>0</v>
      </c>
      <c r="F164" s="42">
        <v>18</v>
      </c>
      <c r="G164" s="56">
        <f t="shared" si="12"/>
        <v>0</v>
      </c>
      <c r="H164" s="56">
        <f t="shared" si="13"/>
        <v>0</v>
      </c>
      <c r="I164" s="56">
        <f t="shared" si="14"/>
        <v>0</v>
      </c>
      <c r="J164" s="57">
        <f t="shared" si="15"/>
        <v>0</v>
      </c>
    </row>
    <row r="165" spans="1:10" x14ac:dyDescent="0.25">
      <c r="A165" s="59"/>
      <c r="B165" s="46"/>
      <c r="C165" s="44"/>
      <c r="D165" s="44"/>
      <c r="E165" s="45">
        <v>0</v>
      </c>
      <c r="F165" s="42">
        <v>18</v>
      </c>
      <c r="G165" s="56">
        <f t="shared" si="12"/>
        <v>0</v>
      </c>
      <c r="H165" s="56">
        <f t="shared" si="13"/>
        <v>0</v>
      </c>
      <c r="I165" s="56">
        <f t="shared" si="14"/>
        <v>0</v>
      </c>
      <c r="J165" s="57">
        <f t="shared" si="15"/>
        <v>0</v>
      </c>
    </row>
    <row r="166" spans="1:10" x14ac:dyDescent="0.25">
      <c r="A166" s="59"/>
      <c r="B166" s="46"/>
      <c r="C166" s="44"/>
      <c r="D166" s="44"/>
      <c r="E166" s="45">
        <v>0</v>
      </c>
      <c r="F166" s="42">
        <v>18</v>
      </c>
      <c r="G166" s="56">
        <f t="shared" si="12"/>
        <v>0</v>
      </c>
      <c r="H166" s="56">
        <f t="shared" si="13"/>
        <v>0</v>
      </c>
      <c r="I166" s="56">
        <f t="shared" si="14"/>
        <v>0</v>
      </c>
      <c r="J166" s="57">
        <f t="shared" si="15"/>
        <v>0</v>
      </c>
    </row>
    <row r="167" spans="1:10" x14ac:dyDescent="0.25">
      <c r="A167" s="59"/>
      <c r="B167" s="46"/>
      <c r="C167" s="44"/>
      <c r="D167" s="44"/>
      <c r="E167" s="45">
        <v>0</v>
      </c>
      <c r="F167" s="42">
        <v>18</v>
      </c>
      <c r="G167" s="56">
        <f t="shared" si="12"/>
        <v>0</v>
      </c>
      <c r="H167" s="56">
        <f t="shared" si="13"/>
        <v>0</v>
      </c>
      <c r="I167" s="56">
        <f t="shared" si="14"/>
        <v>0</v>
      </c>
      <c r="J167" s="57">
        <f t="shared" si="15"/>
        <v>0</v>
      </c>
    </row>
    <row r="168" spans="1:10" x14ac:dyDescent="0.25">
      <c r="A168" s="59"/>
      <c r="B168" s="46"/>
      <c r="C168" s="44"/>
      <c r="D168" s="44"/>
      <c r="E168" s="45">
        <v>0</v>
      </c>
      <c r="F168" s="42">
        <v>18</v>
      </c>
      <c r="G168" s="56">
        <f t="shared" si="12"/>
        <v>0</v>
      </c>
      <c r="H168" s="56">
        <f t="shared" si="13"/>
        <v>0</v>
      </c>
      <c r="I168" s="56">
        <f t="shared" si="14"/>
        <v>0</v>
      </c>
      <c r="J168" s="57">
        <f t="shared" si="15"/>
        <v>0</v>
      </c>
    </row>
    <row r="169" spans="1:10" x14ac:dyDescent="0.25">
      <c r="A169" s="59"/>
      <c r="B169" s="46"/>
      <c r="C169" s="44"/>
      <c r="D169" s="44"/>
      <c r="E169" s="45">
        <v>0</v>
      </c>
      <c r="F169" s="42">
        <v>18</v>
      </c>
      <c r="G169" s="56">
        <f t="shared" si="12"/>
        <v>0</v>
      </c>
      <c r="H169" s="56">
        <f t="shared" si="13"/>
        <v>0</v>
      </c>
      <c r="I169" s="56">
        <f t="shared" si="14"/>
        <v>0</v>
      </c>
      <c r="J169" s="57">
        <f t="shared" si="15"/>
        <v>0</v>
      </c>
    </row>
    <row r="170" spans="1:10" x14ac:dyDescent="0.25">
      <c r="A170" s="59"/>
      <c r="B170" s="46"/>
      <c r="C170" s="44"/>
      <c r="D170" s="44"/>
      <c r="E170" s="45">
        <v>0</v>
      </c>
      <c r="F170" s="42">
        <v>18</v>
      </c>
      <c r="G170" s="56">
        <f t="shared" si="12"/>
        <v>0</v>
      </c>
      <c r="H170" s="56">
        <f t="shared" si="13"/>
        <v>0</v>
      </c>
      <c r="I170" s="56">
        <f t="shared" si="14"/>
        <v>0</v>
      </c>
      <c r="J170" s="57">
        <f t="shared" si="15"/>
        <v>0</v>
      </c>
    </row>
    <row r="171" spans="1:10" x14ac:dyDescent="0.25">
      <c r="A171" s="59"/>
      <c r="B171" s="46"/>
      <c r="C171" s="44"/>
      <c r="D171" s="44"/>
      <c r="E171" s="45">
        <v>0</v>
      </c>
      <c r="F171" s="42">
        <v>18</v>
      </c>
      <c r="G171" s="56">
        <f t="shared" si="12"/>
        <v>0</v>
      </c>
      <c r="H171" s="56">
        <f t="shared" si="13"/>
        <v>0</v>
      </c>
      <c r="I171" s="56">
        <f t="shared" si="14"/>
        <v>0</v>
      </c>
      <c r="J171" s="57">
        <f t="shared" si="15"/>
        <v>0</v>
      </c>
    </row>
    <row r="172" spans="1:10" x14ac:dyDescent="0.25">
      <c r="A172" s="59"/>
      <c r="B172" s="46"/>
      <c r="C172" s="44"/>
      <c r="D172" s="44"/>
      <c r="E172" s="45">
        <v>0</v>
      </c>
      <c r="F172" s="42">
        <v>18</v>
      </c>
      <c r="G172" s="56">
        <f t="shared" si="12"/>
        <v>0</v>
      </c>
      <c r="H172" s="56">
        <f t="shared" si="13"/>
        <v>0</v>
      </c>
      <c r="I172" s="56">
        <f t="shared" si="14"/>
        <v>0</v>
      </c>
      <c r="J172" s="57">
        <f t="shared" si="15"/>
        <v>0</v>
      </c>
    </row>
    <row r="173" spans="1:10" x14ac:dyDescent="0.25">
      <c r="A173" s="59"/>
      <c r="B173" s="46"/>
      <c r="C173" s="44"/>
      <c r="D173" s="44"/>
      <c r="E173" s="45">
        <v>0</v>
      </c>
      <c r="F173" s="42">
        <v>18</v>
      </c>
      <c r="G173" s="56">
        <f t="shared" si="12"/>
        <v>0</v>
      </c>
      <c r="H173" s="56">
        <f t="shared" si="13"/>
        <v>0</v>
      </c>
      <c r="I173" s="56">
        <f t="shared" si="14"/>
        <v>0</v>
      </c>
      <c r="J173" s="57">
        <f t="shared" si="15"/>
        <v>0</v>
      </c>
    </row>
    <row r="174" spans="1:10" x14ac:dyDescent="0.25">
      <c r="A174" s="59"/>
      <c r="B174" s="46"/>
      <c r="C174" s="44"/>
      <c r="D174" s="44"/>
      <c r="E174" s="45">
        <v>0</v>
      </c>
      <c r="F174" s="42">
        <v>18</v>
      </c>
      <c r="G174" s="56">
        <f t="shared" si="12"/>
        <v>0</v>
      </c>
      <c r="H174" s="56">
        <f t="shared" si="13"/>
        <v>0</v>
      </c>
      <c r="I174" s="56">
        <f t="shared" si="14"/>
        <v>0</v>
      </c>
      <c r="J174" s="57">
        <f t="shared" si="15"/>
        <v>0</v>
      </c>
    </row>
    <row r="175" spans="1:10" x14ac:dyDescent="0.25">
      <c r="A175" s="59"/>
      <c r="B175" s="46"/>
      <c r="C175" s="44"/>
      <c r="D175" s="44"/>
      <c r="E175" s="45">
        <v>0</v>
      </c>
      <c r="F175" s="42">
        <v>18</v>
      </c>
      <c r="G175" s="56">
        <f t="shared" si="12"/>
        <v>0</v>
      </c>
      <c r="H175" s="56">
        <f t="shared" si="13"/>
        <v>0</v>
      </c>
      <c r="I175" s="56">
        <f t="shared" si="14"/>
        <v>0</v>
      </c>
      <c r="J175" s="57">
        <f t="shared" si="15"/>
        <v>0</v>
      </c>
    </row>
    <row r="176" spans="1:10" x14ac:dyDescent="0.25">
      <c r="A176" s="59"/>
      <c r="B176" s="46"/>
      <c r="C176" s="44"/>
      <c r="D176" s="44"/>
      <c r="E176" s="45">
        <v>0</v>
      </c>
      <c r="F176" s="42">
        <v>18</v>
      </c>
      <c r="G176" s="56">
        <f t="shared" si="12"/>
        <v>0</v>
      </c>
      <c r="H176" s="56">
        <f t="shared" si="13"/>
        <v>0</v>
      </c>
      <c r="I176" s="56">
        <f t="shared" si="14"/>
        <v>0</v>
      </c>
      <c r="J176" s="57">
        <f t="shared" si="15"/>
        <v>0</v>
      </c>
    </row>
    <row r="177" spans="1:10" x14ac:dyDescent="0.25">
      <c r="A177" s="59"/>
      <c r="B177" s="46"/>
      <c r="C177" s="44"/>
      <c r="D177" s="44"/>
      <c r="E177" s="45">
        <v>0</v>
      </c>
      <c r="F177" s="42">
        <v>18</v>
      </c>
      <c r="G177" s="56">
        <f t="shared" si="12"/>
        <v>0</v>
      </c>
      <c r="H177" s="56">
        <f t="shared" si="13"/>
        <v>0</v>
      </c>
      <c r="I177" s="56">
        <f t="shared" si="14"/>
        <v>0</v>
      </c>
      <c r="J177" s="57">
        <f t="shared" si="15"/>
        <v>0</v>
      </c>
    </row>
    <row r="178" spans="1:10" x14ac:dyDescent="0.25">
      <c r="A178" s="59"/>
      <c r="B178" s="46"/>
      <c r="C178" s="44"/>
      <c r="D178" s="44"/>
      <c r="E178" s="45">
        <v>0</v>
      </c>
      <c r="F178" s="42">
        <v>18</v>
      </c>
      <c r="G178" s="56">
        <f t="shared" si="12"/>
        <v>0</v>
      </c>
      <c r="H178" s="56">
        <f t="shared" si="13"/>
        <v>0</v>
      </c>
      <c r="I178" s="56">
        <f t="shared" si="14"/>
        <v>0</v>
      </c>
      <c r="J178" s="57">
        <f t="shared" si="15"/>
        <v>0</v>
      </c>
    </row>
    <row r="179" spans="1:10" x14ac:dyDescent="0.25">
      <c r="A179" s="59"/>
      <c r="B179" s="46"/>
      <c r="C179" s="44"/>
      <c r="D179" s="44"/>
      <c r="E179" s="45">
        <v>0</v>
      </c>
      <c r="F179" s="42">
        <v>18</v>
      </c>
      <c r="G179" s="56">
        <f t="shared" si="12"/>
        <v>0</v>
      </c>
      <c r="H179" s="56">
        <f t="shared" si="13"/>
        <v>0</v>
      </c>
      <c r="I179" s="56">
        <f t="shared" si="14"/>
        <v>0</v>
      </c>
      <c r="J179" s="57">
        <f t="shared" si="15"/>
        <v>0</v>
      </c>
    </row>
    <row r="180" spans="1:10" x14ac:dyDescent="0.25">
      <c r="A180" s="59"/>
      <c r="B180" s="46"/>
      <c r="C180" s="44"/>
      <c r="D180" s="44"/>
      <c r="E180" s="45">
        <v>0</v>
      </c>
      <c r="F180" s="42">
        <v>18</v>
      </c>
      <c r="G180" s="56">
        <f t="shared" si="12"/>
        <v>0</v>
      </c>
      <c r="H180" s="56">
        <f t="shared" si="13"/>
        <v>0</v>
      </c>
      <c r="I180" s="56">
        <f t="shared" si="14"/>
        <v>0</v>
      </c>
      <c r="J180" s="57">
        <f t="shared" si="15"/>
        <v>0</v>
      </c>
    </row>
    <row r="181" spans="1:10" x14ac:dyDescent="0.25">
      <c r="A181" s="59"/>
      <c r="B181" s="46"/>
      <c r="C181" s="44"/>
      <c r="D181" s="44"/>
      <c r="E181" s="45">
        <v>0</v>
      </c>
      <c r="F181" s="42">
        <v>18</v>
      </c>
      <c r="G181" s="56">
        <f t="shared" si="12"/>
        <v>0</v>
      </c>
      <c r="H181" s="56">
        <f t="shared" si="13"/>
        <v>0</v>
      </c>
      <c r="I181" s="56">
        <f t="shared" si="14"/>
        <v>0</v>
      </c>
      <c r="J181" s="57">
        <f t="shared" si="15"/>
        <v>0</v>
      </c>
    </row>
    <row r="182" spans="1:10" x14ac:dyDescent="0.25">
      <c r="A182" s="59"/>
      <c r="B182" s="46"/>
      <c r="C182" s="44"/>
      <c r="D182" s="44"/>
      <c r="E182" s="45">
        <v>0</v>
      </c>
      <c r="F182" s="42">
        <v>18</v>
      </c>
      <c r="G182" s="56">
        <f t="shared" si="12"/>
        <v>0</v>
      </c>
      <c r="H182" s="56">
        <f t="shared" si="13"/>
        <v>0</v>
      </c>
      <c r="I182" s="56">
        <f t="shared" si="14"/>
        <v>0</v>
      </c>
      <c r="J182" s="57">
        <f t="shared" si="15"/>
        <v>0</v>
      </c>
    </row>
    <row r="183" spans="1:10" x14ac:dyDescent="0.25">
      <c r="A183" s="59"/>
      <c r="B183" s="46"/>
      <c r="C183" s="44"/>
      <c r="D183" s="44"/>
      <c r="E183" s="45">
        <v>0</v>
      </c>
      <c r="F183" s="42">
        <v>18</v>
      </c>
      <c r="G183" s="56">
        <f t="shared" si="12"/>
        <v>0</v>
      </c>
      <c r="H183" s="56">
        <f t="shared" si="13"/>
        <v>0</v>
      </c>
      <c r="I183" s="56">
        <f t="shared" si="14"/>
        <v>0</v>
      </c>
      <c r="J183" s="57">
        <f t="shared" si="15"/>
        <v>0</v>
      </c>
    </row>
    <row r="184" spans="1:10" x14ac:dyDescent="0.25">
      <c r="A184" s="59"/>
      <c r="B184" s="46"/>
      <c r="C184" s="44"/>
      <c r="D184" s="44"/>
      <c r="E184" s="45">
        <v>0</v>
      </c>
      <c r="F184" s="42">
        <v>18</v>
      </c>
      <c r="G184" s="56">
        <f t="shared" si="12"/>
        <v>0</v>
      </c>
      <c r="H184" s="56">
        <f t="shared" si="13"/>
        <v>0</v>
      </c>
      <c r="I184" s="56">
        <f t="shared" si="14"/>
        <v>0</v>
      </c>
      <c r="J184" s="57">
        <f t="shared" si="15"/>
        <v>0</v>
      </c>
    </row>
    <row r="185" spans="1:10" x14ac:dyDescent="0.25">
      <c r="A185" s="59"/>
      <c r="B185" s="46"/>
      <c r="C185" s="44"/>
      <c r="D185" s="44"/>
      <c r="E185" s="45">
        <v>0</v>
      </c>
      <c r="F185" s="42">
        <v>18</v>
      </c>
      <c r="G185" s="56">
        <f t="shared" si="12"/>
        <v>0</v>
      </c>
      <c r="H185" s="56">
        <f t="shared" si="13"/>
        <v>0</v>
      </c>
      <c r="I185" s="56">
        <f t="shared" si="14"/>
        <v>0</v>
      </c>
      <c r="J185" s="57">
        <f t="shared" si="15"/>
        <v>0</v>
      </c>
    </row>
    <row r="186" spans="1:10" x14ac:dyDescent="0.25">
      <c r="A186" s="59"/>
      <c r="B186" s="46"/>
      <c r="C186" s="44"/>
      <c r="D186" s="44"/>
      <c r="E186" s="45">
        <v>0</v>
      </c>
      <c r="F186" s="42">
        <v>18</v>
      </c>
      <c r="G186" s="56">
        <f t="shared" si="12"/>
        <v>0</v>
      </c>
      <c r="H186" s="56">
        <f t="shared" si="13"/>
        <v>0</v>
      </c>
      <c r="I186" s="56">
        <f t="shared" si="14"/>
        <v>0</v>
      </c>
      <c r="J186" s="57">
        <f t="shared" si="15"/>
        <v>0</v>
      </c>
    </row>
    <row r="187" spans="1:10" x14ac:dyDescent="0.25">
      <c r="A187" s="59"/>
      <c r="B187" s="46"/>
      <c r="C187" s="44"/>
      <c r="D187" s="44"/>
      <c r="E187" s="45">
        <v>0</v>
      </c>
      <c r="F187" s="42">
        <v>18</v>
      </c>
      <c r="G187" s="56">
        <f t="shared" si="12"/>
        <v>0</v>
      </c>
      <c r="H187" s="56">
        <f t="shared" si="13"/>
        <v>0</v>
      </c>
      <c r="I187" s="56">
        <f t="shared" si="14"/>
        <v>0</v>
      </c>
      <c r="J187" s="57">
        <f t="shared" si="15"/>
        <v>0</v>
      </c>
    </row>
    <row r="188" spans="1:10" x14ac:dyDescent="0.25">
      <c r="A188" s="59"/>
      <c r="B188" s="46"/>
      <c r="C188" s="44"/>
      <c r="D188" s="44"/>
      <c r="E188" s="45">
        <v>0</v>
      </c>
      <c r="F188" s="42">
        <v>18</v>
      </c>
      <c r="G188" s="56">
        <f t="shared" si="12"/>
        <v>0</v>
      </c>
      <c r="H188" s="56">
        <f t="shared" si="13"/>
        <v>0</v>
      </c>
      <c r="I188" s="56">
        <f t="shared" si="14"/>
        <v>0</v>
      </c>
      <c r="J188" s="57">
        <f t="shared" si="15"/>
        <v>0</v>
      </c>
    </row>
    <row r="189" spans="1:10" x14ac:dyDescent="0.25">
      <c r="A189" s="59"/>
      <c r="B189" s="46"/>
      <c r="C189" s="44"/>
      <c r="D189" s="44"/>
      <c r="E189" s="45">
        <v>0</v>
      </c>
      <c r="F189" s="42">
        <v>18</v>
      </c>
      <c r="G189" s="56">
        <f t="shared" si="12"/>
        <v>0</v>
      </c>
      <c r="H189" s="56">
        <f t="shared" si="13"/>
        <v>0</v>
      </c>
      <c r="I189" s="56">
        <f t="shared" si="14"/>
        <v>0</v>
      </c>
      <c r="J189" s="57">
        <f t="shared" si="15"/>
        <v>0</v>
      </c>
    </row>
    <row r="190" spans="1:10" x14ac:dyDescent="0.25">
      <c r="A190" s="59"/>
      <c r="B190" s="46"/>
      <c r="C190" s="44"/>
      <c r="D190" s="44"/>
      <c r="E190" s="45">
        <v>0</v>
      </c>
      <c r="F190" s="42">
        <v>18</v>
      </c>
      <c r="G190" s="56">
        <f t="shared" si="12"/>
        <v>0</v>
      </c>
      <c r="H190" s="56">
        <f t="shared" si="13"/>
        <v>0</v>
      </c>
      <c r="I190" s="56">
        <f t="shared" si="14"/>
        <v>0</v>
      </c>
      <c r="J190" s="57">
        <f t="shared" si="15"/>
        <v>0</v>
      </c>
    </row>
    <row r="191" spans="1:10" x14ac:dyDescent="0.25">
      <c r="A191" s="59"/>
      <c r="B191" s="46"/>
      <c r="C191" s="44"/>
      <c r="D191" s="44"/>
      <c r="E191" s="45">
        <v>0</v>
      </c>
      <c r="F191" s="42">
        <v>18</v>
      </c>
      <c r="G191" s="56">
        <f t="shared" si="12"/>
        <v>0</v>
      </c>
      <c r="H191" s="56">
        <f t="shared" si="13"/>
        <v>0</v>
      </c>
      <c r="I191" s="56">
        <f t="shared" si="14"/>
        <v>0</v>
      </c>
      <c r="J191" s="57">
        <f t="shared" si="15"/>
        <v>0</v>
      </c>
    </row>
    <row r="192" spans="1:10" x14ac:dyDescent="0.25">
      <c r="A192" s="59"/>
      <c r="B192" s="46"/>
      <c r="C192" s="44"/>
      <c r="D192" s="44"/>
      <c r="E192" s="45">
        <v>0</v>
      </c>
      <c r="F192" s="42">
        <v>18</v>
      </c>
      <c r="G192" s="56">
        <f t="shared" si="12"/>
        <v>0</v>
      </c>
      <c r="H192" s="56">
        <f t="shared" si="13"/>
        <v>0</v>
      </c>
      <c r="I192" s="56">
        <f t="shared" si="14"/>
        <v>0</v>
      </c>
      <c r="J192" s="57">
        <f t="shared" si="15"/>
        <v>0</v>
      </c>
    </row>
    <row r="193" spans="1:10" x14ac:dyDescent="0.25">
      <c r="A193" s="59"/>
      <c r="B193" s="46"/>
      <c r="C193" s="44"/>
      <c r="D193" s="44"/>
      <c r="E193" s="45">
        <v>0</v>
      </c>
      <c r="F193" s="42">
        <v>18</v>
      </c>
      <c r="G193" s="56">
        <f t="shared" si="12"/>
        <v>0</v>
      </c>
      <c r="H193" s="56">
        <f t="shared" si="13"/>
        <v>0</v>
      </c>
      <c r="I193" s="56">
        <f t="shared" si="14"/>
        <v>0</v>
      </c>
      <c r="J193" s="57">
        <f t="shared" si="15"/>
        <v>0</v>
      </c>
    </row>
    <row r="194" spans="1:10" x14ac:dyDescent="0.25">
      <c r="A194" s="59"/>
      <c r="B194" s="46"/>
      <c r="C194" s="44"/>
      <c r="D194" s="44"/>
      <c r="E194" s="45">
        <v>0</v>
      </c>
      <c r="F194" s="42">
        <v>18</v>
      </c>
      <c r="G194" s="56">
        <f t="shared" si="12"/>
        <v>0</v>
      </c>
      <c r="H194" s="56">
        <f t="shared" si="13"/>
        <v>0</v>
      </c>
      <c r="I194" s="56">
        <f t="shared" si="14"/>
        <v>0</v>
      </c>
      <c r="J194" s="57">
        <f t="shared" si="15"/>
        <v>0</v>
      </c>
    </row>
    <row r="195" spans="1:10" x14ac:dyDescent="0.25">
      <c r="A195" s="59"/>
      <c r="B195" s="46"/>
      <c r="C195" s="44"/>
      <c r="D195" s="44"/>
      <c r="E195" s="45">
        <v>0</v>
      </c>
      <c r="F195" s="42">
        <v>18</v>
      </c>
      <c r="G195" s="56">
        <f t="shared" ref="G195:G236" si="16">ROUND((E195*F195%)/2,)</f>
        <v>0</v>
      </c>
      <c r="H195" s="56">
        <f t="shared" ref="H195:H236" si="17">G195</f>
        <v>0</v>
      </c>
      <c r="I195" s="56">
        <f t="shared" ref="I195:I236" si="18">G195+H195</f>
        <v>0</v>
      </c>
      <c r="J195" s="57">
        <f t="shared" ref="J195:J236" si="19">E195+I195</f>
        <v>0</v>
      </c>
    </row>
    <row r="196" spans="1:10" x14ac:dyDescent="0.25">
      <c r="A196" s="59"/>
      <c r="B196" s="46"/>
      <c r="C196" s="44"/>
      <c r="D196" s="44"/>
      <c r="E196" s="45">
        <v>0</v>
      </c>
      <c r="F196" s="42">
        <v>18</v>
      </c>
      <c r="G196" s="56">
        <f t="shared" si="16"/>
        <v>0</v>
      </c>
      <c r="H196" s="56">
        <f t="shared" si="17"/>
        <v>0</v>
      </c>
      <c r="I196" s="56">
        <f t="shared" si="18"/>
        <v>0</v>
      </c>
      <c r="J196" s="57">
        <f t="shared" si="19"/>
        <v>0</v>
      </c>
    </row>
    <row r="197" spans="1:10" x14ac:dyDescent="0.25">
      <c r="A197" s="59"/>
      <c r="B197" s="46"/>
      <c r="C197" s="44"/>
      <c r="D197" s="44"/>
      <c r="E197" s="45">
        <v>0</v>
      </c>
      <c r="F197" s="42">
        <v>18</v>
      </c>
      <c r="G197" s="56">
        <f t="shared" si="16"/>
        <v>0</v>
      </c>
      <c r="H197" s="56">
        <f t="shared" si="17"/>
        <v>0</v>
      </c>
      <c r="I197" s="56">
        <f t="shared" si="18"/>
        <v>0</v>
      </c>
      <c r="J197" s="57">
        <f t="shared" si="19"/>
        <v>0</v>
      </c>
    </row>
    <row r="198" spans="1:10" x14ac:dyDescent="0.25">
      <c r="A198" s="59"/>
      <c r="B198" s="46"/>
      <c r="C198" s="44"/>
      <c r="D198" s="44"/>
      <c r="E198" s="45">
        <v>0</v>
      </c>
      <c r="F198" s="42">
        <v>18</v>
      </c>
      <c r="G198" s="56">
        <f t="shared" si="16"/>
        <v>0</v>
      </c>
      <c r="H198" s="56">
        <f t="shared" si="17"/>
        <v>0</v>
      </c>
      <c r="I198" s="56">
        <f t="shared" si="18"/>
        <v>0</v>
      </c>
      <c r="J198" s="57">
        <f t="shared" si="19"/>
        <v>0</v>
      </c>
    </row>
    <row r="199" spans="1:10" x14ac:dyDescent="0.25">
      <c r="A199" s="59"/>
      <c r="B199" s="46"/>
      <c r="C199" s="44"/>
      <c r="D199" s="44"/>
      <c r="E199" s="45">
        <v>0</v>
      </c>
      <c r="F199" s="42">
        <v>18</v>
      </c>
      <c r="G199" s="56">
        <f t="shared" si="16"/>
        <v>0</v>
      </c>
      <c r="H199" s="56">
        <f t="shared" si="17"/>
        <v>0</v>
      </c>
      <c r="I199" s="56">
        <f t="shared" si="18"/>
        <v>0</v>
      </c>
      <c r="J199" s="57">
        <f t="shared" si="19"/>
        <v>0</v>
      </c>
    </row>
    <row r="200" spans="1:10" x14ac:dyDescent="0.25">
      <c r="A200" s="59"/>
      <c r="B200" s="46"/>
      <c r="C200" s="44"/>
      <c r="D200" s="44"/>
      <c r="E200" s="45">
        <v>0</v>
      </c>
      <c r="F200" s="42">
        <v>18</v>
      </c>
      <c r="G200" s="56">
        <f t="shared" si="16"/>
        <v>0</v>
      </c>
      <c r="H200" s="56">
        <f t="shared" si="17"/>
        <v>0</v>
      </c>
      <c r="I200" s="56">
        <f t="shared" si="18"/>
        <v>0</v>
      </c>
      <c r="J200" s="57">
        <f t="shared" si="19"/>
        <v>0</v>
      </c>
    </row>
    <row r="201" spans="1:10" x14ac:dyDescent="0.25">
      <c r="A201" s="59"/>
      <c r="B201" s="46"/>
      <c r="C201" s="44"/>
      <c r="D201" s="44"/>
      <c r="E201" s="45">
        <v>0</v>
      </c>
      <c r="F201" s="42">
        <v>18</v>
      </c>
      <c r="G201" s="56">
        <f t="shared" si="16"/>
        <v>0</v>
      </c>
      <c r="H201" s="56">
        <f t="shared" si="17"/>
        <v>0</v>
      </c>
      <c r="I201" s="56">
        <f t="shared" si="18"/>
        <v>0</v>
      </c>
      <c r="J201" s="57">
        <f t="shared" si="19"/>
        <v>0</v>
      </c>
    </row>
    <row r="202" spans="1:10" x14ac:dyDescent="0.25">
      <c r="A202" s="59"/>
      <c r="B202" s="46"/>
      <c r="C202" s="44"/>
      <c r="D202" s="44"/>
      <c r="E202" s="45">
        <v>0</v>
      </c>
      <c r="F202" s="42">
        <v>18</v>
      </c>
      <c r="G202" s="56">
        <f t="shared" si="16"/>
        <v>0</v>
      </c>
      <c r="H202" s="56">
        <f t="shared" si="17"/>
        <v>0</v>
      </c>
      <c r="I202" s="56">
        <f t="shared" si="18"/>
        <v>0</v>
      </c>
      <c r="J202" s="57">
        <f t="shared" si="19"/>
        <v>0</v>
      </c>
    </row>
    <row r="203" spans="1:10" x14ac:dyDescent="0.25">
      <c r="A203" s="59"/>
      <c r="B203" s="46"/>
      <c r="C203" s="44"/>
      <c r="D203" s="44"/>
      <c r="E203" s="45">
        <v>0</v>
      </c>
      <c r="F203" s="42">
        <v>18</v>
      </c>
      <c r="G203" s="56">
        <f t="shared" si="16"/>
        <v>0</v>
      </c>
      <c r="H203" s="56">
        <f t="shared" si="17"/>
        <v>0</v>
      </c>
      <c r="I203" s="56">
        <f t="shared" si="18"/>
        <v>0</v>
      </c>
      <c r="J203" s="57">
        <f t="shared" si="19"/>
        <v>0</v>
      </c>
    </row>
    <row r="204" spans="1:10" x14ac:dyDescent="0.25">
      <c r="A204" s="59"/>
      <c r="B204" s="46"/>
      <c r="C204" s="44"/>
      <c r="D204" s="44"/>
      <c r="E204" s="45">
        <v>0</v>
      </c>
      <c r="F204" s="42">
        <v>18</v>
      </c>
      <c r="G204" s="56">
        <f t="shared" si="16"/>
        <v>0</v>
      </c>
      <c r="H204" s="56">
        <f t="shared" si="17"/>
        <v>0</v>
      </c>
      <c r="I204" s="56">
        <f t="shared" si="18"/>
        <v>0</v>
      </c>
      <c r="J204" s="57">
        <f t="shared" si="19"/>
        <v>0</v>
      </c>
    </row>
    <row r="205" spans="1:10" x14ac:dyDescent="0.25">
      <c r="A205" s="59"/>
      <c r="B205" s="46"/>
      <c r="C205" s="44"/>
      <c r="D205" s="44"/>
      <c r="E205" s="45">
        <v>0</v>
      </c>
      <c r="F205" s="42">
        <v>18</v>
      </c>
      <c r="G205" s="56">
        <f t="shared" si="16"/>
        <v>0</v>
      </c>
      <c r="H205" s="56">
        <f t="shared" si="17"/>
        <v>0</v>
      </c>
      <c r="I205" s="56">
        <f t="shared" si="18"/>
        <v>0</v>
      </c>
      <c r="J205" s="57">
        <f t="shared" si="19"/>
        <v>0</v>
      </c>
    </row>
    <row r="206" spans="1:10" x14ac:dyDescent="0.25">
      <c r="A206" s="59"/>
      <c r="B206" s="46"/>
      <c r="C206" s="44"/>
      <c r="D206" s="44"/>
      <c r="E206" s="45">
        <v>0</v>
      </c>
      <c r="F206" s="42">
        <v>18</v>
      </c>
      <c r="G206" s="56">
        <f t="shared" si="16"/>
        <v>0</v>
      </c>
      <c r="H206" s="56">
        <f t="shared" si="17"/>
        <v>0</v>
      </c>
      <c r="I206" s="56">
        <f t="shared" si="18"/>
        <v>0</v>
      </c>
      <c r="J206" s="57">
        <f t="shared" si="19"/>
        <v>0</v>
      </c>
    </row>
    <row r="207" spans="1:10" x14ac:dyDescent="0.25">
      <c r="A207" s="59"/>
      <c r="B207" s="46"/>
      <c r="C207" s="44"/>
      <c r="D207" s="44"/>
      <c r="E207" s="45">
        <v>0</v>
      </c>
      <c r="F207" s="42">
        <v>18</v>
      </c>
      <c r="G207" s="56">
        <f t="shared" si="16"/>
        <v>0</v>
      </c>
      <c r="H207" s="56">
        <f t="shared" si="17"/>
        <v>0</v>
      </c>
      <c r="I207" s="56">
        <f t="shared" si="18"/>
        <v>0</v>
      </c>
      <c r="J207" s="57">
        <f t="shared" si="19"/>
        <v>0</v>
      </c>
    </row>
    <row r="208" spans="1:10" x14ac:dyDescent="0.25">
      <c r="A208" s="59"/>
      <c r="B208" s="46"/>
      <c r="C208" s="44"/>
      <c r="D208" s="44"/>
      <c r="E208" s="45">
        <v>0</v>
      </c>
      <c r="F208" s="42">
        <v>18</v>
      </c>
      <c r="G208" s="56">
        <f t="shared" si="16"/>
        <v>0</v>
      </c>
      <c r="H208" s="56">
        <f t="shared" si="17"/>
        <v>0</v>
      </c>
      <c r="I208" s="56">
        <f t="shared" si="18"/>
        <v>0</v>
      </c>
      <c r="J208" s="57">
        <f t="shared" si="19"/>
        <v>0</v>
      </c>
    </row>
    <row r="209" spans="1:10" x14ac:dyDescent="0.25">
      <c r="A209" s="59"/>
      <c r="B209" s="46"/>
      <c r="C209" s="44"/>
      <c r="D209" s="44"/>
      <c r="E209" s="45">
        <v>0</v>
      </c>
      <c r="F209" s="42">
        <v>18</v>
      </c>
      <c r="G209" s="56">
        <f t="shared" si="16"/>
        <v>0</v>
      </c>
      <c r="H209" s="56">
        <f t="shared" si="17"/>
        <v>0</v>
      </c>
      <c r="I209" s="56">
        <f t="shared" si="18"/>
        <v>0</v>
      </c>
      <c r="J209" s="57">
        <f t="shared" si="19"/>
        <v>0</v>
      </c>
    </row>
    <row r="210" spans="1:10" x14ac:dyDescent="0.25">
      <c r="A210" s="59"/>
      <c r="B210" s="46"/>
      <c r="C210" s="44"/>
      <c r="D210" s="44"/>
      <c r="E210" s="45">
        <v>0</v>
      </c>
      <c r="F210" s="42">
        <v>18</v>
      </c>
      <c r="G210" s="56">
        <f t="shared" si="16"/>
        <v>0</v>
      </c>
      <c r="H210" s="56">
        <f t="shared" si="17"/>
        <v>0</v>
      </c>
      <c r="I210" s="56">
        <f t="shared" si="18"/>
        <v>0</v>
      </c>
      <c r="J210" s="57">
        <f t="shared" si="19"/>
        <v>0</v>
      </c>
    </row>
    <row r="211" spans="1:10" x14ac:dyDescent="0.25">
      <c r="A211" s="59"/>
      <c r="B211" s="46"/>
      <c r="C211" s="44"/>
      <c r="D211" s="44"/>
      <c r="E211" s="45">
        <v>0</v>
      </c>
      <c r="F211" s="42">
        <v>18</v>
      </c>
      <c r="G211" s="56">
        <f t="shared" si="16"/>
        <v>0</v>
      </c>
      <c r="H211" s="56">
        <f t="shared" si="17"/>
        <v>0</v>
      </c>
      <c r="I211" s="56">
        <f t="shared" si="18"/>
        <v>0</v>
      </c>
      <c r="J211" s="57">
        <f t="shared" si="19"/>
        <v>0</v>
      </c>
    </row>
    <row r="212" spans="1:10" x14ac:dyDescent="0.25">
      <c r="A212" s="59"/>
      <c r="B212" s="46"/>
      <c r="C212" s="44"/>
      <c r="D212" s="44"/>
      <c r="E212" s="45">
        <v>0</v>
      </c>
      <c r="F212" s="42">
        <v>18</v>
      </c>
      <c r="G212" s="56">
        <f t="shared" si="16"/>
        <v>0</v>
      </c>
      <c r="H212" s="56">
        <f t="shared" si="17"/>
        <v>0</v>
      </c>
      <c r="I212" s="56">
        <f t="shared" si="18"/>
        <v>0</v>
      </c>
      <c r="J212" s="57">
        <f t="shared" si="19"/>
        <v>0</v>
      </c>
    </row>
    <row r="213" spans="1:10" x14ac:dyDescent="0.25">
      <c r="A213" s="59"/>
      <c r="B213" s="46"/>
      <c r="C213" s="44"/>
      <c r="D213" s="44"/>
      <c r="E213" s="45">
        <v>0</v>
      </c>
      <c r="F213" s="42">
        <v>18</v>
      </c>
      <c r="G213" s="56">
        <f t="shared" si="16"/>
        <v>0</v>
      </c>
      <c r="H213" s="56">
        <f t="shared" si="17"/>
        <v>0</v>
      </c>
      <c r="I213" s="56">
        <f t="shared" si="18"/>
        <v>0</v>
      </c>
      <c r="J213" s="57">
        <f t="shared" si="19"/>
        <v>0</v>
      </c>
    </row>
    <row r="214" spans="1:10" x14ac:dyDescent="0.25">
      <c r="A214" s="59"/>
      <c r="B214" s="46"/>
      <c r="C214" s="44"/>
      <c r="D214" s="44"/>
      <c r="E214" s="45">
        <v>0</v>
      </c>
      <c r="F214" s="42">
        <v>18</v>
      </c>
      <c r="G214" s="56">
        <f t="shared" si="16"/>
        <v>0</v>
      </c>
      <c r="H214" s="56">
        <f t="shared" si="17"/>
        <v>0</v>
      </c>
      <c r="I214" s="56">
        <f t="shared" si="18"/>
        <v>0</v>
      </c>
      <c r="J214" s="57">
        <f t="shared" si="19"/>
        <v>0</v>
      </c>
    </row>
    <row r="215" spans="1:10" x14ac:dyDescent="0.25">
      <c r="A215" s="59"/>
      <c r="B215" s="46"/>
      <c r="C215" s="44"/>
      <c r="D215" s="44"/>
      <c r="E215" s="45">
        <v>0</v>
      </c>
      <c r="F215" s="42">
        <v>18</v>
      </c>
      <c r="G215" s="56">
        <f t="shared" si="16"/>
        <v>0</v>
      </c>
      <c r="H215" s="56">
        <f t="shared" si="17"/>
        <v>0</v>
      </c>
      <c r="I215" s="56">
        <f t="shared" si="18"/>
        <v>0</v>
      </c>
      <c r="J215" s="57">
        <f t="shared" si="19"/>
        <v>0</v>
      </c>
    </row>
    <row r="216" spans="1:10" x14ac:dyDescent="0.25">
      <c r="A216" s="59"/>
      <c r="B216" s="46"/>
      <c r="C216" s="44"/>
      <c r="D216" s="44"/>
      <c r="E216" s="45">
        <v>0</v>
      </c>
      <c r="F216" s="42">
        <v>18</v>
      </c>
      <c r="G216" s="56">
        <f t="shared" si="16"/>
        <v>0</v>
      </c>
      <c r="H216" s="56">
        <f t="shared" si="17"/>
        <v>0</v>
      </c>
      <c r="I216" s="56">
        <f t="shared" si="18"/>
        <v>0</v>
      </c>
      <c r="J216" s="57">
        <f t="shared" si="19"/>
        <v>0</v>
      </c>
    </row>
    <row r="217" spans="1:10" x14ac:dyDescent="0.25">
      <c r="A217" s="59"/>
      <c r="B217" s="46"/>
      <c r="C217" s="44"/>
      <c r="D217" s="44"/>
      <c r="E217" s="45">
        <v>0</v>
      </c>
      <c r="F217" s="42">
        <v>18</v>
      </c>
      <c r="G217" s="56">
        <f t="shared" si="16"/>
        <v>0</v>
      </c>
      <c r="H217" s="56">
        <f t="shared" si="17"/>
        <v>0</v>
      </c>
      <c r="I217" s="56">
        <f t="shared" si="18"/>
        <v>0</v>
      </c>
      <c r="J217" s="57">
        <f t="shared" si="19"/>
        <v>0</v>
      </c>
    </row>
    <row r="218" spans="1:10" x14ac:dyDescent="0.25">
      <c r="A218" s="59"/>
      <c r="B218" s="46"/>
      <c r="C218" s="44"/>
      <c r="D218" s="44"/>
      <c r="E218" s="45">
        <v>0</v>
      </c>
      <c r="F218" s="42">
        <v>18</v>
      </c>
      <c r="G218" s="56">
        <f t="shared" si="16"/>
        <v>0</v>
      </c>
      <c r="H218" s="56">
        <f t="shared" si="17"/>
        <v>0</v>
      </c>
      <c r="I218" s="56">
        <f t="shared" si="18"/>
        <v>0</v>
      </c>
      <c r="J218" s="57">
        <f t="shared" si="19"/>
        <v>0</v>
      </c>
    </row>
    <row r="219" spans="1:10" x14ac:dyDescent="0.25">
      <c r="A219" s="59"/>
      <c r="B219" s="46"/>
      <c r="C219" s="44"/>
      <c r="D219" s="44"/>
      <c r="E219" s="45">
        <v>0</v>
      </c>
      <c r="F219" s="42">
        <v>18</v>
      </c>
      <c r="G219" s="56">
        <f t="shared" si="16"/>
        <v>0</v>
      </c>
      <c r="H219" s="56">
        <f t="shared" si="17"/>
        <v>0</v>
      </c>
      <c r="I219" s="56">
        <f t="shared" si="18"/>
        <v>0</v>
      </c>
      <c r="J219" s="57">
        <f t="shared" si="19"/>
        <v>0</v>
      </c>
    </row>
    <row r="220" spans="1:10" x14ac:dyDescent="0.25">
      <c r="A220" s="59"/>
      <c r="B220" s="46"/>
      <c r="C220" s="44"/>
      <c r="D220" s="44"/>
      <c r="E220" s="45">
        <v>0</v>
      </c>
      <c r="F220" s="42">
        <v>18</v>
      </c>
      <c r="G220" s="56">
        <f t="shared" si="16"/>
        <v>0</v>
      </c>
      <c r="H220" s="56">
        <f t="shared" si="17"/>
        <v>0</v>
      </c>
      <c r="I220" s="56">
        <f t="shared" si="18"/>
        <v>0</v>
      </c>
      <c r="J220" s="57">
        <f t="shared" si="19"/>
        <v>0</v>
      </c>
    </row>
    <row r="221" spans="1:10" x14ac:dyDescent="0.25">
      <c r="A221" s="59"/>
      <c r="B221" s="46"/>
      <c r="C221" s="44"/>
      <c r="D221" s="44"/>
      <c r="E221" s="45">
        <v>0</v>
      </c>
      <c r="F221" s="42">
        <v>18</v>
      </c>
      <c r="G221" s="56">
        <f t="shared" si="16"/>
        <v>0</v>
      </c>
      <c r="H221" s="56">
        <f t="shared" si="17"/>
        <v>0</v>
      </c>
      <c r="I221" s="56">
        <f t="shared" si="18"/>
        <v>0</v>
      </c>
      <c r="J221" s="57">
        <f t="shared" si="19"/>
        <v>0</v>
      </c>
    </row>
    <row r="222" spans="1:10" x14ac:dyDescent="0.25">
      <c r="A222" s="59"/>
      <c r="B222" s="46"/>
      <c r="C222" s="44"/>
      <c r="D222" s="44"/>
      <c r="E222" s="45">
        <v>0</v>
      </c>
      <c r="F222" s="42">
        <v>18</v>
      </c>
      <c r="G222" s="56">
        <f t="shared" si="16"/>
        <v>0</v>
      </c>
      <c r="H222" s="56">
        <f t="shared" si="17"/>
        <v>0</v>
      </c>
      <c r="I222" s="56">
        <f t="shared" si="18"/>
        <v>0</v>
      </c>
      <c r="J222" s="57">
        <f t="shared" si="19"/>
        <v>0</v>
      </c>
    </row>
    <row r="223" spans="1:10" x14ac:dyDescent="0.25">
      <c r="A223" s="59"/>
      <c r="B223" s="46"/>
      <c r="C223" s="44"/>
      <c r="D223" s="44"/>
      <c r="E223" s="45">
        <v>0</v>
      </c>
      <c r="F223" s="42">
        <v>18</v>
      </c>
      <c r="G223" s="56">
        <f t="shared" si="16"/>
        <v>0</v>
      </c>
      <c r="H223" s="56">
        <f t="shared" si="17"/>
        <v>0</v>
      </c>
      <c r="I223" s="56">
        <f t="shared" si="18"/>
        <v>0</v>
      </c>
      <c r="J223" s="57">
        <f t="shared" si="19"/>
        <v>0</v>
      </c>
    </row>
    <row r="224" spans="1:10" x14ac:dyDescent="0.25">
      <c r="A224" s="59"/>
      <c r="B224" s="46"/>
      <c r="C224" s="44"/>
      <c r="D224" s="44"/>
      <c r="E224" s="45">
        <v>0</v>
      </c>
      <c r="F224" s="42">
        <v>18</v>
      </c>
      <c r="G224" s="56">
        <f t="shared" si="16"/>
        <v>0</v>
      </c>
      <c r="H224" s="56">
        <f t="shared" si="17"/>
        <v>0</v>
      </c>
      <c r="I224" s="56">
        <f t="shared" si="18"/>
        <v>0</v>
      </c>
      <c r="J224" s="57">
        <f t="shared" si="19"/>
        <v>0</v>
      </c>
    </row>
    <row r="225" spans="1:10" x14ac:dyDescent="0.25">
      <c r="A225" s="59"/>
      <c r="B225" s="46"/>
      <c r="C225" s="44"/>
      <c r="D225" s="44"/>
      <c r="E225" s="45">
        <v>0</v>
      </c>
      <c r="F225" s="42">
        <v>18</v>
      </c>
      <c r="G225" s="56">
        <f t="shared" si="16"/>
        <v>0</v>
      </c>
      <c r="H225" s="56">
        <f t="shared" si="17"/>
        <v>0</v>
      </c>
      <c r="I225" s="56">
        <f t="shared" si="18"/>
        <v>0</v>
      </c>
      <c r="J225" s="57">
        <f t="shared" si="19"/>
        <v>0</v>
      </c>
    </row>
    <row r="226" spans="1:10" x14ac:dyDescent="0.25">
      <c r="A226" s="59"/>
      <c r="B226" s="46"/>
      <c r="C226" s="44"/>
      <c r="D226" s="44"/>
      <c r="E226" s="45">
        <v>0</v>
      </c>
      <c r="F226" s="42">
        <v>18</v>
      </c>
      <c r="G226" s="56">
        <f t="shared" si="16"/>
        <v>0</v>
      </c>
      <c r="H226" s="56">
        <f t="shared" si="17"/>
        <v>0</v>
      </c>
      <c r="I226" s="56">
        <f t="shared" si="18"/>
        <v>0</v>
      </c>
      <c r="J226" s="57">
        <f t="shared" si="19"/>
        <v>0</v>
      </c>
    </row>
    <row r="227" spans="1:10" x14ac:dyDescent="0.25">
      <c r="A227" s="59"/>
      <c r="B227" s="46"/>
      <c r="C227" s="44"/>
      <c r="D227" s="44"/>
      <c r="E227" s="45">
        <v>0</v>
      </c>
      <c r="F227" s="42">
        <v>18</v>
      </c>
      <c r="G227" s="56">
        <f t="shared" si="16"/>
        <v>0</v>
      </c>
      <c r="H227" s="56">
        <f t="shared" si="17"/>
        <v>0</v>
      </c>
      <c r="I227" s="56">
        <f t="shared" si="18"/>
        <v>0</v>
      </c>
      <c r="J227" s="57">
        <f t="shared" si="19"/>
        <v>0</v>
      </c>
    </row>
    <row r="228" spans="1:10" x14ac:dyDescent="0.25">
      <c r="A228" s="59"/>
      <c r="B228" s="46"/>
      <c r="C228" s="44"/>
      <c r="D228" s="44"/>
      <c r="E228" s="45">
        <v>0</v>
      </c>
      <c r="F228" s="42">
        <v>18</v>
      </c>
      <c r="G228" s="56">
        <f t="shared" si="16"/>
        <v>0</v>
      </c>
      <c r="H228" s="56">
        <f t="shared" si="17"/>
        <v>0</v>
      </c>
      <c r="I228" s="56">
        <f t="shared" si="18"/>
        <v>0</v>
      </c>
      <c r="J228" s="57">
        <f t="shared" si="19"/>
        <v>0</v>
      </c>
    </row>
    <row r="229" spans="1:10" x14ac:dyDescent="0.25">
      <c r="A229" s="59"/>
      <c r="B229" s="46"/>
      <c r="C229" s="44"/>
      <c r="D229" s="44"/>
      <c r="E229" s="45">
        <v>0</v>
      </c>
      <c r="F229" s="42">
        <v>18</v>
      </c>
      <c r="G229" s="56">
        <f t="shared" si="16"/>
        <v>0</v>
      </c>
      <c r="H229" s="56">
        <f t="shared" si="17"/>
        <v>0</v>
      </c>
      <c r="I229" s="56">
        <f t="shared" si="18"/>
        <v>0</v>
      </c>
      <c r="J229" s="57">
        <f t="shared" si="19"/>
        <v>0</v>
      </c>
    </row>
    <row r="230" spans="1:10" x14ac:dyDescent="0.25">
      <c r="A230" s="59"/>
      <c r="B230" s="46"/>
      <c r="C230" s="44"/>
      <c r="D230" s="44"/>
      <c r="E230" s="45">
        <v>0</v>
      </c>
      <c r="F230" s="42">
        <v>18</v>
      </c>
      <c r="G230" s="56">
        <f t="shared" si="16"/>
        <v>0</v>
      </c>
      <c r="H230" s="56">
        <f t="shared" si="17"/>
        <v>0</v>
      </c>
      <c r="I230" s="56">
        <f t="shared" si="18"/>
        <v>0</v>
      </c>
      <c r="J230" s="57">
        <f t="shared" si="19"/>
        <v>0</v>
      </c>
    </row>
    <row r="231" spans="1:10" x14ac:dyDescent="0.25">
      <c r="A231" s="59"/>
      <c r="B231" s="46"/>
      <c r="C231" s="44"/>
      <c r="D231" s="44"/>
      <c r="E231" s="45">
        <v>0</v>
      </c>
      <c r="F231" s="42">
        <v>18</v>
      </c>
      <c r="G231" s="56">
        <f t="shared" si="16"/>
        <v>0</v>
      </c>
      <c r="H231" s="56">
        <f t="shared" si="17"/>
        <v>0</v>
      </c>
      <c r="I231" s="56">
        <f t="shared" si="18"/>
        <v>0</v>
      </c>
      <c r="J231" s="57">
        <f t="shared" si="19"/>
        <v>0</v>
      </c>
    </row>
    <row r="232" spans="1:10" x14ac:dyDescent="0.25">
      <c r="A232" s="59"/>
      <c r="B232" s="46"/>
      <c r="C232" s="44"/>
      <c r="D232" s="44"/>
      <c r="E232" s="45">
        <v>0</v>
      </c>
      <c r="F232" s="42">
        <v>18</v>
      </c>
      <c r="G232" s="56">
        <f t="shared" si="16"/>
        <v>0</v>
      </c>
      <c r="H232" s="56">
        <f t="shared" si="17"/>
        <v>0</v>
      </c>
      <c r="I232" s="56">
        <f t="shared" si="18"/>
        <v>0</v>
      </c>
      <c r="J232" s="57">
        <f t="shared" si="19"/>
        <v>0</v>
      </c>
    </row>
    <row r="233" spans="1:10" x14ac:dyDescent="0.25">
      <c r="A233" s="59"/>
      <c r="B233" s="46"/>
      <c r="C233" s="44"/>
      <c r="D233" s="44"/>
      <c r="E233" s="45">
        <v>0</v>
      </c>
      <c r="F233" s="42">
        <v>18</v>
      </c>
      <c r="G233" s="56">
        <f t="shared" si="16"/>
        <v>0</v>
      </c>
      <c r="H233" s="56">
        <f t="shared" si="17"/>
        <v>0</v>
      </c>
      <c r="I233" s="56">
        <f t="shared" si="18"/>
        <v>0</v>
      </c>
      <c r="J233" s="57">
        <f t="shared" si="19"/>
        <v>0</v>
      </c>
    </row>
    <row r="234" spans="1:10" x14ac:dyDescent="0.25">
      <c r="A234" s="59"/>
      <c r="B234" s="46"/>
      <c r="C234" s="44"/>
      <c r="D234" s="44"/>
      <c r="E234" s="45">
        <v>0</v>
      </c>
      <c r="F234" s="42">
        <v>18</v>
      </c>
      <c r="G234" s="56">
        <f t="shared" si="16"/>
        <v>0</v>
      </c>
      <c r="H234" s="56">
        <f t="shared" si="17"/>
        <v>0</v>
      </c>
      <c r="I234" s="56">
        <f t="shared" si="18"/>
        <v>0</v>
      </c>
      <c r="J234" s="57">
        <f t="shared" si="19"/>
        <v>0</v>
      </c>
    </row>
    <row r="235" spans="1:10" x14ac:dyDescent="0.25">
      <c r="A235" s="59"/>
      <c r="B235" s="46"/>
      <c r="C235" s="44"/>
      <c r="D235" s="44"/>
      <c r="E235" s="45">
        <v>0</v>
      </c>
      <c r="F235" s="42">
        <v>18</v>
      </c>
      <c r="G235" s="56">
        <f t="shared" si="16"/>
        <v>0</v>
      </c>
      <c r="H235" s="56">
        <f t="shared" si="17"/>
        <v>0</v>
      </c>
      <c r="I235" s="56">
        <f t="shared" si="18"/>
        <v>0</v>
      </c>
      <c r="J235" s="57">
        <f t="shared" si="19"/>
        <v>0</v>
      </c>
    </row>
    <row r="236" spans="1:10" x14ac:dyDescent="0.25">
      <c r="A236" s="59"/>
      <c r="B236" s="46"/>
      <c r="C236" s="44"/>
      <c r="D236" s="44"/>
      <c r="E236" s="45">
        <v>0</v>
      </c>
      <c r="F236" s="42">
        <v>18</v>
      </c>
      <c r="G236" s="56">
        <f t="shared" si="16"/>
        <v>0</v>
      </c>
      <c r="H236" s="56">
        <f t="shared" si="17"/>
        <v>0</v>
      </c>
      <c r="I236" s="56">
        <f t="shared" si="18"/>
        <v>0</v>
      </c>
      <c r="J236" s="57">
        <f t="shared" si="19"/>
        <v>0</v>
      </c>
    </row>
  </sheetData>
  <dataValidations count="4">
    <dataValidation type="custom" operator="lessThanOrEqual" allowBlank="1" showInputMessage="1" showErrorMessage="1" error="Please enter alphanumeric value of length less than or equal to 25.Do not enter any special character except . , - / and SPACE." sqref="D2:D236">
      <formula1>AD2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236">
      <formula1>AF2</formula1>
    </dataValidation>
    <dataValidation type="custom" allowBlank="1" showInputMessage="1" showErrorMessage="1" error="Please enter Numeric value having length less than or equal to 16 including decimal points. Do not enter Special characters." sqref="F2:F236">
      <formula1>AG2</formula1>
    </dataValidation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236">
      <formula1>500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opLeftCell="A4" workbookViewId="0">
      <selection activeCell="A17" sqref="A17:B17"/>
    </sheetView>
  </sheetViews>
  <sheetFormatPr defaultRowHeight="15" x14ac:dyDescent="0.25"/>
  <cols>
    <col min="1" max="1" width="17.42578125" customWidth="1"/>
    <col min="2" max="2" width="37.28515625" customWidth="1"/>
    <col min="3" max="3" width="8.28515625" customWidth="1"/>
    <col min="4" max="4" width="10.28515625" customWidth="1"/>
    <col min="5" max="5" width="11.28515625" customWidth="1"/>
    <col min="7" max="8" width="10.28515625" customWidth="1"/>
    <col min="9" max="9" width="11.140625" customWidth="1"/>
    <col min="10" max="10" width="13.140625" customWidth="1"/>
  </cols>
  <sheetData>
    <row r="1" spans="1:10" x14ac:dyDescent="0.25">
      <c r="A1" s="47" t="s">
        <v>107</v>
      </c>
      <c r="B1" s="54" t="s">
        <v>231</v>
      </c>
      <c r="C1" s="54" t="s">
        <v>108</v>
      </c>
      <c r="D1" s="54" t="s">
        <v>101</v>
      </c>
      <c r="E1" s="55" t="s">
        <v>103</v>
      </c>
      <c r="F1" s="54" t="s">
        <v>99</v>
      </c>
      <c r="G1" s="54" t="s">
        <v>104</v>
      </c>
      <c r="H1" s="54" t="s">
        <v>105</v>
      </c>
      <c r="I1" s="54" t="s">
        <v>106</v>
      </c>
      <c r="J1" s="54" t="s">
        <v>100</v>
      </c>
    </row>
    <row r="2" spans="1:10" x14ac:dyDescent="0.25">
      <c r="A2" s="48"/>
      <c r="B2" s="58" t="s">
        <v>114</v>
      </c>
      <c r="C2" s="44"/>
      <c r="D2" s="44"/>
      <c r="E2" s="45"/>
      <c r="F2" s="42"/>
      <c r="G2" s="56"/>
      <c r="H2" s="56"/>
      <c r="I2" s="56"/>
      <c r="J2" s="57"/>
    </row>
    <row r="3" spans="1:10" x14ac:dyDescent="0.25">
      <c r="A3" s="59"/>
      <c r="B3" s="46"/>
      <c r="C3" s="44"/>
      <c r="D3" s="44"/>
      <c r="E3" s="45">
        <v>0</v>
      </c>
      <c r="F3" s="42">
        <v>18</v>
      </c>
      <c r="G3" s="56">
        <f t="shared" ref="G3" si="0">ROUND((E3*F3%)/2,)</f>
        <v>0</v>
      </c>
      <c r="H3" s="56">
        <f t="shared" ref="H3" si="1">G3</f>
        <v>0</v>
      </c>
      <c r="I3" s="56">
        <f t="shared" ref="I3" si="2">G3+H3</f>
        <v>0</v>
      </c>
      <c r="J3" s="57">
        <f t="shared" ref="J3" si="3">E3+I3</f>
        <v>0</v>
      </c>
    </row>
    <row r="4" spans="1:10" ht="21" x14ac:dyDescent="0.25">
      <c r="A4" s="59" t="s">
        <v>127</v>
      </c>
      <c r="B4" s="46" t="s">
        <v>128</v>
      </c>
      <c r="C4" s="44" t="s">
        <v>704</v>
      </c>
      <c r="D4" s="44" t="s">
        <v>705</v>
      </c>
      <c r="E4" s="45">
        <v>3360</v>
      </c>
      <c r="F4" s="42">
        <v>18</v>
      </c>
      <c r="G4" s="56">
        <f t="shared" ref="G4:G67" si="4">ROUND((E4*F4%)/2,)</f>
        <v>302</v>
      </c>
      <c r="H4" s="56">
        <f t="shared" ref="H4:H67" si="5">G4</f>
        <v>302</v>
      </c>
      <c r="I4" s="56">
        <f t="shared" ref="I4:I67" si="6">G4+H4</f>
        <v>604</v>
      </c>
      <c r="J4" s="57">
        <f t="shared" ref="J4:J67" si="7">E4+I4</f>
        <v>3964</v>
      </c>
    </row>
    <row r="5" spans="1:10" ht="21" x14ac:dyDescent="0.25">
      <c r="A5" s="59" t="s">
        <v>127</v>
      </c>
      <c r="B5" s="46" t="s">
        <v>128</v>
      </c>
      <c r="C5" s="44" t="s">
        <v>706</v>
      </c>
      <c r="D5" s="44" t="s">
        <v>705</v>
      </c>
      <c r="E5" s="45">
        <v>3300</v>
      </c>
      <c r="F5" s="42">
        <v>18</v>
      </c>
      <c r="G5" s="56">
        <f t="shared" si="4"/>
        <v>297</v>
      </c>
      <c r="H5" s="56">
        <f t="shared" si="5"/>
        <v>297</v>
      </c>
      <c r="I5" s="56">
        <f t="shared" si="6"/>
        <v>594</v>
      </c>
      <c r="J5" s="57">
        <f t="shared" si="7"/>
        <v>3894</v>
      </c>
    </row>
    <row r="6" spans="1:10" ht="21" x14ac:dyDescent="0.25">
      <c r="A6" s="59" t="s">
        <v>127</v>
      </c>
      <c r="B6" s="46" t="s">
        <v>128</v>
      </c>
      <c r="C6" s="44" t="s">
        <v>707</v>
      </c>
      <c r="D6" s="44" t="s">
        <v>705</v>
      </c>
      <c r="E6" s="45">
        <v>3600</v>
      </c>
      <c r="F6" s="42">
        <v>18</v>
      </c>
      <c r="G6" s="56">
        <f t="shared" si="4"/>
        <v>324</v>
      </c>
      <c r="H6" s="56">
        <f t="shared" si="5"/>
        <v>324</v>
      </c>
      <c r="I6" s="56">
        <f t="shared" si="6"/>
        <v>648</v>
      </c>
      <c r="J6" s="57">
        <f t="shared" si="7"/>
        <v>4248</v>
      </c>
    </row>
    <row r="7" spans="1:10" ht="21" x14ac:dyDescent="0.25">
      <c r="A7" s="59" t="s">
        <v>255</v>
      </c>
      <c r="B7" s="46" t="s">
        <v>256</v>
      </c>
      <c r="C7" s="44" t="s">
        <v>708</v>
      </c>
      <c r="D7" s="44" t="s">
        <v>733</v>
      </c>
      <c r="E7" s="45">
        <v>4000</v>
      </c>
      <c r="F7" s="42">
        <v>18</v>
      </c>
      <c r="G7" s="56">
        <f t="shared" si="4"/>
        <v>360</v>
      </c>
      <c r="H7" s="56">
        <f t="shared" si="5"/>
        <v>360</v>
      </c>
      <c r="I7" s="56">
        <f t="shared" si="6"/>
        <v>720</v>
      </c>
      <c r="J7" s="57">
        <f t="shared" si="7"/>
        <v>4720</v>
      </c>
    </row>
    <row r="8" spans="1:10" ht="21" x14ac:dyDescent="0.25">
      <c r="A8" s="59" t="s">
        <v>255</v>
      </c>
      <c r="B8" s="46" t="s">
        <v>256</v>
      </c>
      <c r="C8" s="44" t="s">
        <v>709</v>
      </c>
      <c r="D8" s="44" t="s">
        <v>733</v>
      </c>
      <c r="E8" s="45">
        <v>9200</v>
      </c>
      <c r="F8" s="42">
        <v>18</v>
      </c>
      <c r="G8" s="56">
        <f t="shared" si="4"/>
        <v>828</v>
      </c>
      <c r="H8" s="56">
        <f t="shared" si="5"/>
        <v>828</v>
      </c>
      <c r="I8" s="56">
        <f t="shared" si="6"/>
        <v>1656</v>
      </c>
      <c r="J8" s="57">
        <f t="shared" si="7"/>
        <v>10856</v>
      </c>
    </row>
    <row r="9" spans="1:10" ht="21" x14ac:dyDescent="0.25">
      <c r="A9" s="48" t="s">
        <v>514</v>
      </c>
      <c r="B9" s="44" t="s">
        <v>499</v>
      </c>
      <c r="C9" s="44" t="s">
        <v>710</v>
      </c>
      <c r="D9" s="44" t="s">
        <v>733</v>
      </c>
      <c r="E9" s="45">
        <v>3960</v>
      </c>
      <c r="F9" s="42">
        <v>18</v>
      </c>
      <c r="G9" s="56">
        <f t="shared" si="4"/>
        <v>356</v>
      </c>
      <c r="H9" s="56">
        <f t="shared" si="5"/>
        <v>356</v>
      </c>
      <c r="I9" s="56">
        <f t="shared" si="6"/>
        <v>712</v>
      </c>
      <c r="J9" s="57">
        <f t="shared" si="7"/>
        <v>4672</v>
      </c>
    </row>
    <row r="10" spans="1:10" ht="21" x14ac:dyDescent="0.25">
      <c r="A10" s="48" t="s">
        <v>514</v>
      </c>
      <c r="B10" s="44" t="s">
        <v>499</v>
      </c>
      <c r="C10" s="44" t="s">
        <v>711</v>
      </c>
      <c r="D10" s="44" t="s">
        <v>733</v>
      </c>
      <c r="E10" s="45">
        <v>5900</v>
      </c>
      <c r="F10" s="42">
        <v>18</v>
      </c>
      <c r="G10" s="56">
        <f t="shared" si="4"/>
        <v>531</v>
      </c>
      <c r="H10" s="56">
        <f t="shared" si="5"/>
        <v>531</v>
      </c>
      <c r="I10" s="56">
        <f t="shared" si="6"/>
        <v>1062</v>
      </c>
      <c r="J10" s="57">
        <f t="shared" si="7"/>
        <v>6962</v>
      </c>
    </row>
    <row r="11" spans="1:10" ht="21" x14ac:dyDescent="0.25">
      <c r="A11" s="59" t="s">
        <v>127</v>
      </c>
      <c r="B11" s="46" t="s">
        <v>128</v>
      </c>
      <c r="C11" s="44" t="s">
        <v>712</v>
      </c>
      <c r="D11" s="44" t="s">
        <v>733</v>
      </c>
      <c r="E11" s="45">
        <v>6000</v>
      </c>
      <c r="F11" s="42">
        <v>18</v>
      </c>
      <c r="G11" s="56">
        <f t="shared" si="4"/>
        <v>540</v>
      </c>
      <c r="H11" s="56">
        <f t="shared" si="5"/>
        <v>540</v>
      </c>
      <c r="I11" s="56">
        <f t="shared" si="6"/>
        <v>1080</v>
      </c>
      <c r="J11" s="57">
        <f t="shared" si="7"/>
        <v>7080</v>
      </c>
    </row>
    <row r="12" spans="1:10" ht="21" x14ac:dyDescent="0.25">
      <c r="A12" s="59" t="s">
        <v>135</v>
      </c>
      <c r="B12" s="46" t="s">
        <v>136</v>
      </c>
      <c r="C12" s="44" t="s">
        <v>713</v>
      </c>
      <c r="D12" s="44" t="s">
        <v>734</v>
      </c>
      <c r="E12" s="45">
        <v>1608</v>
      </c>
      <c r="F12" s="42">
        <v>18</v>
      </c>
      <c r="G12" s="56">
        <f t="shared" si="4"/>
        <v>145</v>
      </c>
      <c r="H12" s="56">
        <f t="shared" si="5"/>
        <v>145</v>
      </c>
      <c r="I12" s="56">
        <f t="shared" si="6"/>
        <v>290</v>
      </c>
      <c r="J12" s="57">
        <f t="shared" si="7"/>
        <v>1898</v>
      </c>
    </row>
    <row r="13" spans="1:10" ht="21" x14ac:dyDescent="0.25">
      <c r="A13" s="59" t="s">
        <v>135</v>
      </c>
      <c r="B13" s="46" t="s">
        <v>136</v>
      </c>
      <c r="C13" s="44" t="s">
        <v>714</v>
      </c>
      <c r="D13" s="44" t="s">
        <v>735</v>
      </c>
      <c r="E13" s="45">
        <v>2412</v>
      </c>
      <c r="F13" s="42">
        <v>18</v>
      </c>
      <c r="G13" s="56">
        <f t="shared" si="4"/>
        <v>217</v>
      </c>
      <c r="H13" s="56">
        <f t="shared" si="5"/>
        <v>217</v>
      </c>
      <c r="I13" s="56">
        <f t="shared" si="6"/>
        <v>434</v>
      </c>
      <c r="J13" s="57">
        <f t="shared" si="7"/>
        <v>2846</v>
      </c>
    </row>
    <row r="14" spans="1:10" ht="21" x14ac:dyDescent="0.25">
      <c r="A14" s="59" t="s">
        <v>135</v>
      </c>
      <c r="B14" s="46" t="s">
        <v>136</v>
      </c>
      <c r="C14" s="44" t="s">
        <v>715</v>
      </c>
      <c r="D14" s="44" t="s">
        <v>735</v>
      </c>
      <c r="E14" s="45">
        <v>2412</v>
      </c>
      <c r="F14" s="42">
        <v>18</v>
      </c>
      <c r="G14" s="56">
        <f t="shared" si="4"/>
        <v>217</v>
      </c>
      <c r="H14" s="56">
        <f t="shared" si="5"/>
        <v>217</v>
      </c>
      <c r="I14" s="56">
        <f t="shared" si="6"/>
        <v>434</v>
      </c>
      <c r="J14" s="57">
        <f t="shared" si="7"/>
        <v>2846</v>
      </c>
    </row>
    <row r="15" spans="1:10" ht="21" x14ac:dyDescent="0.25">
      <c r="A15" s="59" t="s">
        <v>135</v>
      </c>
      <c r="B15" s="46" t="s">
        <v>136</v>
      </c>
      <c r="C15" s="44" t="s">
        <v>716</v>
      </c>
      <c r="D15" s="44" t="s">
        <v>736</v>
      </c>
      <c r="E15" s="45">
        <v>2010</v>
      </c>
      <c r="F15" s="42">
        <v>18</v>
      </c>
      <c r="G15" s="56">
        <f t="shared" si="4"/>
        <v>181</v>
      </c>
      <c r="H15" s="56">
        <f t="shared" si="5"/>
        <v>181</v>
      </c>
      <c r="I15" s="56">
        <f t="shared" si="6"/>
        <v>362</v>
      </c>
      <c r="J15" s="57">
        <f t="shared" si="7"/>
        <v>2372</v>
      </c>
    </row>
    <row r="16" spans="1:10" ht="21" x14ac:dyDescent="0.25">
      <c r="A16" s="59" t="s">
        <v>306</v>
      </c>
      <c r="B16" s="46" t="s">
        <v>124</v>
      </c>
      <c r="C16" s="44" t="s">
        <v>717</v>
      </c>
      <c r="D16" s="44" t="s">
        <v>737</v>
      </c>
      <c r="E16" s="45">
        <v>1020</v>
      </c>
      <c r="F16" s="42">
        <v>18</v>
      </c>
      <c r="G16" s="56">
        <f t="shared" si="4"/>
        <v>92</v>
      </c>
      <c r="H16" s="56">
        <f t="shared" si="5"/>
        <v>92</v>
      </c>
      <c r="I16" s="56">
        <f t="shared" si="6"/>
        <v>184</v>
      </c>
      <c r="J16" s="57">
        <f t="shared" si="7"/>
        <v>1204</v>
      </c>
    </row>
    <row r="17" spans="1:10" ht="21" x14ac:dyDescent="0.25">
      <c r="A17" s="59" t="s">
        <v>255</v>
      </c>
      <c r="B17" s="46" t="s">
        <v>256</v>
      </c>
      <c r="C17" s="44" t="s">
        <v>718</v>
      </c>
      <c r="D17" s="44" t="s">
        <v>738</v>
      </c>
      <c r="E17" s="45">
        <v>6820</v>
      </c>
      <c r="F17" s="42">
        <v>18</v>
      </c>
      <c r="G17" s="56">
        <f t="shared" si="4"/>
        <v>614</v>
      </c>
      <c r="H17" s="56">
        <f t="shared" si="5"/>
        <v>614</v>
      </c>
      <c r="I17" s="56">
        <f t="shared" si="6"/>
        <v>1228</v>
      </c>
      <c r="J17" s="57">
        <f t="shared" si="7"/>
        <v>8048</v>
      </c>
    </row>
    <row r="18" spans="1:10" ht="21" x14ac:dyDescent="0.25">
      <c r="A18" s="59" t="s">
        <v>127</v>
      </c>
      <c r="B18" s="46" t="s">
        <v>128</v>
      </c>
      <c r="C18" s="44" t="s">
        <v>719</v>
      </c>
      <c r="D18" s="44" t="s">
        <v>739</v>
      </c>
      <c r="E18" s="45">
        <v>2220</v>
      </c>
      <c r="F18" s="42">
        <v>18</v>
      </c>
      <c r="G18" s="56">
        <f t="shared" si="4"/>
        <v>200</v>
      </c>
      <c r="H18" s="56">
        <f t="shared" si="5"/>
        <v>200</v>
      </c>
      <c r="I18" s="56">
        <f t="shared" si="6"/>
        <v>400</v>
      </c>
      <c r="J18" s="57">
        <f t="shared" si="7"/>
        <v>2620</v>
      </c>
    </row>
    <row r="19" spans="1:10" ht="21" x14ac:dyDescent="0.25">
      <c r="A19" s="59" t="s">
        <v>135</v>
      </c>
      <c r="B19" s="46" t="s">
        <v>136</v>
      </c>
      <c r="C19" s="44" t="s">
        <v>720</v>
      </c>
      <c r="D19" s="44" t="s">
        <v>740</v>
      </c>
      <c r="E19" s="45">
        <v>3000</v>
      </c>
      <c r="F19" s="42">
        <v>18</v>
      </c>
      <c r="G19" s="56">
        <f t="shared" si="4"/>
        <v>270</v>
      </c>
      <c r="H19" s="56">
        <f t="shared" si="5"/>
        <v>270</v>
      </c>
      <c r="I19" s="56">
        <f t="shared" si="6"/>
        <v>540</v>
      </c>
      <c r="J19" s="57">
        <f t="shared" si="7"/>
        <v>3540</v>
      </c>
    </row>
    <row r="20" spans="1:10" ht="21" x14ac:dyDescent="0.25">
      <c r="A20" s="59" t="s">
        <v>135</v>
      </c>
      <c r="B20" s="46" t="s">
        <v>136</v>
      </c>
      <c r="C20" s="44" t="s">
        <v>721</v>
      </c>
      <c r="D20" s="44" t="s">
        <v>741</v>
      </c>
      <c r="E20" s="45">
        <v>3000</v>
      </c>
      <c r="F20" s="42">
        <v>18</v>
      </c>
      <c r="G20" s="56">
        <f t="shared" si="4"/>
        <v>270</v>
      </c>
      <c r="H20" s="56">
        <f t="shared" si="5"/>
        <v>270</v>
      </c>
      <c r="I20" s="56">
        <f t="shared" si="6"/>
        <v>540</v>
      </c>
      <c r="J20" s="57">
        <f t="shared" si="7"/>
        <v>3540</v>
      </c>
    </row>
    <row r="21" spans="1:10" ht="21" x14ac:dyDescent="0.25">
      <c r="A21" s="59" t="s">
        <v>306</v>
      </c>
      <c r="B21" s="46" t="s">
        <v>124</v>
      </c>
      <c r="C21" s="44" t="s">
        <v>742</v>
      </c>
      <c r="D21" s="44" t="s">
        <v>743</v>
      </c>
      <c r="E21" s="45">
        <v>1270</v>
      </c>
      <c r="F21" s="42">
        <v>18</v>
      </c>
      <c r="G21" s="56">
        <f t="shared" si="4"/>
        <v>114</v>
      </c>
      <c r="H21" s="56">
        <f t="shared" si="5"/>
        <v>114</v>
      </c>
      <c r="I21" s="56">
        <f t="shared" si="6"/>
        <v>228</v>
      </c>
      <c r="J21" s="57">
        <f t="shared" si="7"/>
        <v>1498</v>
      </c>
    </row>
    <row r="22" spans="1:10" ht="21" x14ac:dyDescent="0.25">
      <c r="A22" s="59" t="s">
        <v>135</v>
      </c>
      <c r="B22" s="46" t="s">
        <v>136</v>
      </c>
      <c r="C22" s="44" t="s">
        <v>722</v>
      </c>
      <c r="D22" s="44" t="s">
        <v>744</v>
      </c>
      <c r="E22" s="45">
        <v>2412</v>
      </c>
      <c r="F22" s="42">
        <v>18</v>
      </c>
      <c r="G22" s="56">
        <f t="shared" si="4"/>
        <v>217</v>
      </c>
      <c r="H22" s="56">
        <f t="shared" si="5"/>
        <v>217</v>
      </c>
      <c r="I22" s="56">
        <f t="shared" si="6"/>
        <v>434</v>
      </c>
      <c r="J22" s="57">
        <f t="shared" si="7"/>
        <v>2846</v>
      </c>
    </row>
    <row r="23" spans="1:10" ht="21" x14ac:dyDescent="0.25">
      <c r="A23" s="59" t="s">
        <v>135</v>
      </c>
      <c r="B23" s="46" t="s">
        <v>136</v>
      </c>
      <c r="C23" s="44" t="s">
        <v>723</v>
      </c>
      <c r="D23" s="44" t="s">
        <v>745</v>
      </c>
      <c r="E23" s="45">
        <v>6000</v>
      </c>
      <c r="F23" s="42">
        <v>18</v>
      </c>
      <c r="G23" s="56">
        <f t="shared" si="4"/>
        <v>540</v>
      </c>
      <c r="H23" s="56">
        <f t="shared" si="5"/>
        <v>540</v>
      </c>
      <c r="I23" s="56">
        <f t="shared" si="6"/>
        <v>1080</v>
      </c>
      <c r="J23" s="57">
        <f t="shared" si="7"/>
        <v>7080</v>
      </c>
    </row>
    <row r="24" spans="1:10" ht="21" x14ac:dyDescent="0.25">
      <c r="A24" s="59" t="s">
        <v>127</v>
      </c>
      <c r="B24" s="46" t="s">
        <v>128</v>
      </c>
      <c r="C24" s="44" t="s">
        <v>724</v>
      </c>
      <c r="D24" s="44" t="s">
        <v>746</v>
      </c>
      <c r="E24" s="45">
        <v>8000</v>
      </c>
      <c r="F24" s="42">
        <v>18</v>
      </c>
      <c r="G24" s="56">
        <f t="shared" si="4"/>
        <v>720</v>
      </c>
      <c r="H24" s="56">
        <f t="shared" si="5"/>
        <v>720</v>
      </c>
      <c r="I24" s="56">
        <f t="shared" si="6"/>
        <v>1440</v>
      </c>
      <c r="J24" s="57">
        <f t="shared" si="7"/>
        <v>9440</v>
      </c>
    </row>
    <row r="25" spans="1:10" ht="21" x14ac:dyDescent="0.25">
      <c r="A25" s="59" t="s">
        <v>127</v>
      </c>
      <c r="B25" s="46" t="s">
        <v>128</v>
      </c>
      <c r="C25" s="44" t="s">
        <v>725</v>
      </c>
      <c r="D25" s="44" t="s">
        <v>746</v>
      </c>
      <c r="E25" s="45">
        <v>11400</v>
      </c>
      <c r="F25" s="42">
        <v>18</v>
      </c>
      <c r="G25" s="56">
        <f t="shared" si="4"/>
        <v>1026</v>
      </c>
      <c r="H25" s="56">
        <f t="shared" si="5"/>
        <v>1026</v>
      </c>
      <c r="I25" s="56">
        <f t="shared" si="6"/>
        <v>2052</v>
      </c>
      <c r="J25" s="57">
        <f t="shared" si="7"/>
        <v>13452</v>
      </c>
    </row>
    <row r="26" spans="1:10" ht="21" x14ac:dyDescent="0.25">
      <c r="A26" s="59" t="s">
        <v>306</v>
      </c>
      <c r="B26" s="46" t="s">
        <v>124</v>
      </c>
      <c r="C26" s="44" t="s">
        <v>726</v>
      </c>
      <c r="D26" s="44" t="s">
        <v>747</v>
      </c>
      <c r="E26" s="45">
        <v>510</v>
      </c>
      <c r="F26" s="42">
        <v>18</v>
      </c>
      <c r="G26" s="56">
        <f t="shared" si="4"/>
        <v>46</v>
      </c>
      <c r="H26" s="56">
        <f t="shared" si="5"/>
        <v>46</v>
      </c>
      <c r="I26" s="56">
        <f t="shared" si="6"/>
        <v>92</v>
      </c>
      <c r="J26" s="57">
        <f t="shared" si="7"/>
        <v>602</v>
      </c>
    </row>
    <row r="27" spans="1:10" ht="21" x14ac:dyDescent="0.25">
      <c r="A27" s="59" t="s">
        <v>255</v>
      </c>
      <c r="B27" s="46" t="s">
        <v>256</v>
      </c>
      <c r="C27" s="44" t="s">
        <v>727</v>
      </c>
      <c r="D27" s="44" t="s">
        <v>748</v>
      </c>
      <c r="E27" s="45">
        <v>4000</v>
      </c>
      <c r="F27" s="42">
        <v>18</v>
      </c>
      <c r="G27" s="56">
        <f t="shared" si="4"/>
        <v>360</v>
      </c>
      <c r="H27" s="56">
        <f t="shared" si="5"/>
        <v>360</v>
      </c>
      <c r="I27" s="56">
        <f t="shared" si="6"/>
        <v>720</v>
      </c>
      <c r="J27" s="57">
        <f t="shared" si="7"/>
        <v>4720</v>
      </c>
    </row>
    <row r="28" spans="1:10" ht="21" x14ac:dyDescent="0.25">
      <c r="A28" s="59" t="s">
        <v>135</v>
      </c>
      <c r="B28" s="46" t="s">
        <v>136</v>
      </c>
      <c r="C28" s="44" t="s">
        <v>728</v>
      </c>
      <c r="D28" s="44" t="s">
        <v>749</v>
      </c>
      <c r="E28" s="45">
        <v>9246</v>
      </c>
      <c r="F28" s="42">
        <v>18</v>
      </c>
      <c r="G28" s="56">
        <f t="shared" si="4"/>
        <v>832</v>
      </c>
      <c r="H28" s="56">
        <f t="shared" si="5"/>
        <v>832</v>
      </c>
      <c r="I28" s="56">
        <f t="shared" si="6"/>
        <v>1664</v>
      </c>
      <c r="J28" s="57">
        <f t="shared" si="7"/>
        <v>10910</v>
      </c>
    </row>
    <row r="29" spans="1:10" ht="21" x14ac:dyDescent="0.25">
      <c r="A29" s="59" t="s">
        <v>255</v>
      </c>
      <c r="B29" s="46" t="s">
        <v>256</v>
      </c>
      <c r="C29" s="44" t="s">
        <v>729</v>
      </c>
      <c r="D29" s="44" t="s">
        <v>749</v>
      </c>
      <c r="E29" s="45">
        <v>1920</v>
      </c>
      <c r="F29" s="42">
        <v>18</v>
      </c>
      <c r="G29" s="56">
        <f t="shared" si="4"/>
        <v>173</v>
      </c>
      <c r="H29" s="56">
        <f t="shared" si="5"/>
        <v>173</v>
      </c>
      <c r="I29" s="56">
        <f t="shared" si="6"/>
        <v>346</v>
      </c>
      <c r="J29" s="57">
        <f t="shared" si="7"/>
        <v>2266</v>
      </c>
    </row>
    <row r="30" spans="1:10" ht="21" x14ac:dyDescent="0.25">
      <c r="A30" s="59" t="s">
        <v>127</v>
      </c>
      <c r="B30" s="46" t="s">
        <v>128</v>
      </c>
      <c r="C30" s="44" t="s">
        <v>730</v>
      </c>
      <c r="D30" s="44" t="s">
        <v>749</v>
      </c>
      <c r="E30" s="45">
        <v>5350</v>
      </c>
      <c r="F30" s="42">
        <v>18</v>
      </c>
      <c r="G30" s="56">
        <f t="shared" si="4"/>
        <v>482</v>
      </c>
      <c r="H30" s="56">
        <f t="shared" si="5"/>
        <v>482</v>
      </c>
      <c r="I30" s="56">
        <f t="shared" si="6"/>
        <v>964</v>
      </c>
      <c r="J30" s="57">
        <f t="shared" si="7"/>
        <v>6314</v>
      </c>
    </row>
    <row r="31" spans="1:10" ht="21" x14ac:dyDescent="0.25">
      <c r="A31" s="59" t="s">
        <v>127</v>
      </c>
      <c r="B31" s="46" t="s">
        <v>128</v>
      </c>
      <c r="C31" s="44" t="s">
        <v>731</v>
      </c>
      <c r="D31" s="44" t="s">
        <v>749</v>
      </c>
      <c r="E31" s="45">
        <v>1920</v>
      </c>
      <c r="F31" s="42">
        <v>18</v>
      </c>
      <c r="G31" s="56">
        <f t="shared" si="4"/>
        <v>173</v>
      </c>
      <c r="H31" s="56">
        <f t="shared" si="5"/>
        <v>173</v>
      </c>
      <c r="I31" s="56">
        <f t="shared" si="6"/>
        <v>346</v>
      </c>
      <c r="J31" s="57">
        <f t="shared" si="7"/>
        <v>2266</v>
      </c>
    </row>
    <row r="32" spans="1:10" ht="21" x14ac:dyDescent="0.25">
      <c r="A32" s="59" t="s">
        <v>127</v>
      </c>
      <c r="B32" s="46" t="s">
        <v>128</v>
      </c>
      <c r="C32" s="44" t="s">
        <v>732</v>
      </c>
      <c r="D32" s="44" t="s">
        <v>750</v>
      </c>
      <c r="E32" s="45">
        <v>2780</v>
      </c>
      <c r="F32" s="42">
        <v>18</v>
      </c>
      <c r="G32" s="56">
        <f t="shared" si="4"/>
        <v>250</v>
      </c>
      <c r="H32" s="56">
        <f t="shared" si="5"/>
        <v>250</v>
      </c>
      <c r="I32" s="56">
        <f t="shared" si="6"/>
        <v>500</v>
      </c>
      <c r="J32" s="57">
        <f t="shared" si="7"/>
        <v>3280</v>
      </c>
    </row>
    <row r="33" spans="1:10" x14ac:dyDescent="0.25">
      <c r="A33" s="59"/>
      <c r="B33" s="46"/>
      <c r="C33" s="44"/>
      <c r="D33" s="44"/>
      <c r="E33" s="45">
        <v>0</v>
      </c>
      <c r="F33" s="42">
        <v>18</v>
      </c>
      <c r="G33" s="56">
        <f t="shared" si="4"/>
        <v>0</v>
      </c>
      <c r="H33" s="56">
        <f t="shared" si="5"/>
        <v>0</v>
      </c>
      <c r="I33" s="56">
        <f t="shared" si="6"/>
        <v>0</v>
      </c>
      <c r="J33" s="57">
        <f t="shared" si="7"/>
        <v>0</v>
      </c>
    </row>
    <row r="34" spans="1:10" x14ac:dyDescent="0.25">
      <c r="A34" s="59"/>
      <c r="B34" s="46"/>
      <c r="C34" s="44"/>
      <c r="D34" s="44"/>
      <c r="E34" s="45">
        <v>0</v>
      </c>
      <c r="F34" s="42">
        <v>18</v>
      </c>
      <c r="G34" s="56">
        <f t="shared" si="4"/>
        <v>0</v>
      </c>
      <c r="H34" s="56">
        <f t="shared" si="5"/>
        <v>0</v>
      </c>
      <c r="I34" s="56">
        <f t="shared" si="6"/>
        <v>0</v>
      </c>
      <c r="J34" s="57">
        <f t="shared" si="7"/>
        <v>0</v>
      </c>
    </row>
    <row r="35" spans="1:10" x14ac:dyDescent="0.25">
      <c r="A35" s="59"/>
      <c r="B35" s="46"/>
      <c r="C35" s="44"/>
      <c r="D35" s="44"/>
      <c r="E35" s="45">
        <v>0</v>
      </c>
      <c r="F35" s="42">
        <v>18</v>
      </c>
      <c r="G35" s="56">
        <f t="shared" si="4"/>
        <v>0</v>
      </c>
      <c r="H35" s="56">
        <f t="shared" si="5"/>
        <v>0</v>
      </c>
      <c r="I35" s="56">
        <f t="shared" si="6"/>
        <v>0</v>
      </c>
      <c r="J35" s="57">
        <f t="shared" si="7"/>
        <v>0</v>
      </c>
    </row>
    <row r="36" spans="1:10" x14ac:dyDescent="0.25">
      <c r="A36" s="59"/>
      <c r="B36" s="46"/>
      <c r="C36" s="44"/>
      <c r="D36" s="44"/>
      <c r="E36" s="45">
        <v>0</v>
      </c>
      <c r="F36" s="42">
        <v>18</v>
      </c>
      <c r="G36" s="56">
        <f t="shared" si="4"/>
        <v>0</v>
      </c>
      <c r="H36" s="56">
        <f t="shared" si="5"/>
        <v>0</v>
      </c>
      <c r="I36" s="56">
        <f t="shared" si="6"/>
        <v>0</v>
      </c>
      <c r="J36" s="57">
        <f t="shared" si="7"/>
        <v>0</v>
      </c>
    </row>
    <row r="37" spans="1:10" x14ac:dyDescent="0.25">
      <c r="A37" s="59"/>
      <c r="B37" s="46"/>
      <c r="C37" s="44"/>
      <c r="D37" s="44"/>
      <c r="E37" s="45">
        <v>0</v>
      </c>
      <c r="F37" s="42">
        <v>18</v>
      </c>
      <c r="G37" s="56">
        <f t="shared" si="4"/>
        <v>0</v>
      </c>
      <c r="H37" s="56">
        <f t="shared" si="5"/>
        <v>0</v>
      </c>
      <c r="I37" s="56">
        <f t="shared" si="6"/>
        <v>0</v>
      </c>
      <c r="J37" s="57">
        <f t="shared" si="7"/>
        <v>0</v>
      </c>
    </row>
    <row r="38" spans="1:10" x14ac:dyDescent="0.25">
      <c r="A38" s="59"/>
      <c r="B38" s="46"/>
      <c r="C38" s="44"/>
      <c r="D38" s="44"/>
      <c r="E38" s="45">
        <v>0</v>
      </c>
      <c r="F38" s="42">
        <v>18</v>
      </c>
      <c r="G38" s="56">
        <f t="shared" si="4"/>
        <v>0</v>
      </c>
      <c r="H38" s="56">
        <f t="shared" si="5"/>
        <v>0</v>
      </c>
      <c r="I38" s="56">
        <f t="shared" si="6"/>
        <v>0</v>
      </c>
      <c r="J38" s="57">
        <f t="shared" si="7"/>
        <v>0</v>
      </c>
    </row>
    <row r="39" spans="1:10" x14ac:dyDescent="0.25">
      <c r="A39" s="59"/>
      <c r="B39" s="46"/>
      <c r="C39" s="44"/>
      <c r="D39" s="44"/>
      <c r="E39" s="45">
        <v>0</v>
      </c>
      <c r="F39" s="42">
        <v>18</v>
      </c>
      <c r="G39" s="56">
        <f t="shared" si="4"/>
        <v>0</v>
      </c>
      <c r="H39" s="56">
        <f t="shared" si="5"/>
        <v>0</v>
      </c>
      <c r="I39" s="56">
        <f t="shared" si="6"/>
        <v>0</v>
      </c>
      <c r="J39" s="57">
        <f t="shared" si="7"/>
        <v>0</v>
      </c>
    </row>
    <row r="40" spans="1:10" x14ac:dyDescent="0.25">
      <c r="A40" s="59"/>
      <c r="B40" s="46"/>
      <c r="C40" s="44"/>
      <c r="D40" s="44"/>
      <c r="E40" s="45">
        <v>0</v>
      </c>
      <c r="F40" s="42">
        <v>18</v>
      </c>
      <c r="G40" s="56">
        <f t="shared" si="4"/>
        <v>0</v>
      </c>
      <c r="H40" s="56">
        <f t="shared" si="5"/>
        <v>0</v>
      </c>
      <c r="I40" s="56">
        <f t="shared" si="6"/>
        <v>0</v>
      </c>
      <c r="J40" s="57">
        <f t="shared" si="7"/>
        <v>0</v>
      </c>
    </row>
    <row r="41" spans="1:10" x14ac:dyDescent="0.25">
      <c r="A41" s="59"/>
      <c r="B41" s="46"/>
      <c r="C41" s="44"/>
      <c r="D41" s="44"/>
      <c r="E41" s="45">
        <v>0</v>
      </c>
      <c r="F41" s="42">
        <v>18</v>
      </c>
      <c r="G41" s="56">
        <f t="shared" si="4"/>
        <v>0</v>
      </c>
      <c r="H41" s="56">
        <f t="shared" si="5"/>
        <v>0</v>
      </c>
      <c r="I41" s="56">
        <f t="shared" si="6"/>
        <v>0</v>
      </c>
      <c r="J41" s="57">
        <f t="shared" si="7"/>
        <v>0</v>
      </c>
    </row>
    <row r="42" spans="1:10" x14ac:dyDescent="0.25">
      <c r="A42" s="59"/>
      <c r="B42" s="46"/>
      <c r="C42" s="44"/>
      <c r="D42" s="44"/>
      <c r="E42" s="45">
        <v>0</v>
      </c>
      <c r="F42" s="42">
        <v>18</v>
      </c>
      <c r="G42" s="56">
        <f t="shared" si="4"/>
        <v>0</v>
      </c>
      <c r="H42" s="56">
        <f t="shared" si="5"/>
        <v>0</v>
      </c>
      <c r="I42" s="56">
        <f t="shared" si="6"/>
        <v>0</v>
      </c>
      <c r="J42" s="57">
        <f t="shared" si="7"/>
        <v>0</v>
      </c>
    </row>
    <row r="43" spans="1:10" x14ac:dyDescent="0.25">
      <c r="A43" s="59"/>
      <c r="B43" s="46"/>
      <c r="C43" s="44"/>
      <c r="D43" s="44"/>
      <c r="E43" s="45">
        <v>0</v>
      </c>
      <c r="F43" s="42">
        <v>18</v>
      </c>
      <c r="G43" s="56">
        <f t="shared" si="4"/>
        <v>0</v>
      </c>
      <c r="H43" s="56">
        <f t="shared" si="5"/>
        <v>0</v>
      </c>
      <c r="I43" s="56">
        <f t="shared" si="6"/>
        <v>0</v>
      </c>
      <c r="J43" s="57">
        <f t="shared" si="7"/>
        <v>0</v>
      </c>
    </row>
    <row r="44" spans="1:10" x14ac:dyDescent="0.25">
      <c r="A44" s="59"/>
      <c r="B44" s="46"/>
      <c r="C44" s="44"/>
      <c r="D44" s="44"/>
      <c r="E44" s="45">
        <v>0</v>
      </c>
      <c r="F44" s="42">
        <v>18</v>
      </c>
      <c r="G44" s="56">
        <f t="shared" si="4"/>
        <v>0</v>
      </c>
      <c r="H44" s="56">
        <f t="shared" si="5"/>
        <v>0</v>
      </c>
      <c r="I44" s="56">
        <f t="shared" si="6"/>
        <v>0</v>
      </c>
      <c r="J44" s="57">
        <f t="shared" si="7"/>
        <v>0</v>
      </c>
    </row>
    <row r="45" spans="1:10" x14ac:dyDescent="0.25">
      <c r="A45" s="59"/>
      <c r="B45" s="46"/>
      <c r="C45" s="44"/>
      <c r="D45" s="44"/>
      <c r="E45" s="45">
        <v>0</v>
      </c>
      <c r="F45" s="42">
        <v>18</v>
      </c>
      <c r="G45" s="56">
        <f t="shared" si="4"/>
        <v>0</v>
      </c>
      <c r="H45" s="56">
        <f t="shared" si="5"/>
        <v>0</v>
      </c>
      <c r="I45" s="56">
        <f t="shared" si="6"/>
        <v>0</v>
      </c>
      <c r="J45" s="57">
        <f t="shared" si="7"/>
        <v>0</v>
      </c>
    </row>
    <row r="46" spans="1:10" x14ac:dyDescent="0.25">
      <c r="A46" s="59"/>
      <c r="B46" s="46"/>
      <c r="C46" s="44"/>
      <c r="D46" s="44"/>
      <c r="E46" s="45">
        <v>0</v>
      </c>
      <c r="F46" s="42">
        <v>18</v>
      </c>
      <c r="G46" s="56">
        <f t="shared" si="4"/>
        <v>0</v>
      </c>
      <c r="H46" s="56">
        <f t="shared" si="5"/>
        <v>0</v>
      </c>
      <c r="I46" s="56">
        <f t="shared" si="6"/>
        <v>0</v>
      </c>
      <c r="J46" s="57">
        <f t="shared" si="7"/>
        <v>0</v>
      </c>
    </row>
    <row r="47" spans="1:10" x14ac:dyDescent="0.25">
      <c r="A47" s="59"/>
      <c r="B47" s="46"/>
      <c r="C47" s="44"/>
      <c r="D47" s="44"/>
      <c r="E47" s="45">
        <v>0</v>
      </c>
      <c r="F47" s="42">
        <v>18</v>
      </c>
      <c r="G47" s="56">
        <f t="shared" si="4"/>
        <v>0</v>
      </c>
      <c r="H47" s="56">
        <f t="shared" si="5"/>
        <v>0</v>
      </c>
      <c r="I47" s="56">
        <f t="shared" si="6"/>
        <v>0</v>
      </c>
      <c r="J47" s="57">
        <f t="shared" si="7"/>
        <v>0</v>
      </c>
    </row>
    <row r="48" spans="1:10" x14ac:dyDescent="0.25">
      <c r="A48" s="59"/>
      <c r="B48" s="46"/>
      <c r="C48" s="44"/>
      <c r="D48" s="44"/>
      <c r="E48" s="45">
        <v>0</v>
      </c>
      <c r="F48" s="42">
        <v>18</v>
      </c>
      <c r="G48" s="56">
        <f t="shared" si="4"/>
        <v>0</v>
      </c>
      <c r="H48" s="56">
        <f t="shared" si="5"/>
        <v>0</v>
      </c>
      <c r="I48" s="56">
        <f t="shared" si="6"/>
        <v>0</v>
      </c>
      <c r="J48" s="57">
        <f t="shared" si="7"/>
        <v>0</v>
      </c>
    </row>
    <row r="49" spans="1:10" x14ac:dyDescent="0.25">
      <c r="A49" s="59"/>
      <c r="B49" s="46"/>
      <c r="C49" s="44"/>
      <c r="D49" s="44"/>
      <c r="E49" s="45">
        <v>0</v>
      </c>
      <c r="F49" s="42">
        <v>18</v>
      </c>
      <c r="G49" s="56">
        <f t="shared" si="4"/>
        <v>0</v>
      </c>
      <c r="H49" s="56">
        <f t="shared" si="5"/>
        <v>0</v>
      </c>
      <c r="I49" s="56">
        <f t="shared" si="6"/>
        <v>0</v>
      </c>
      <c r="J49" s="57">
        <f t="shared" si="7"/>
        <v>0</v>
      </c>
    </row>
    <row r="50" spans="1:10" x14ac:dyDescent="0.25">
      <c r="A50" s="59"/>
      <c r="B50" s="46"/>
      <c r="C50" s="44"/>
      <c r="D50" s="44"/>
      <c r="E50" s="45">
        <v>0</v>
      </c>
      <c r="F50" s="42">
        <v>18</v>
      </c>
      <c r="G50" s="56">
        <f t="shared" si="4"/>
        <v>0</v>
      </c>
      <c r="H50" s="56">
        <f t="shared" si="5"/>
        <v>0</v>
      </c>
      <c r="I50" s="56">
        <f t="shared" si="6"/>
        <v>0</v>
      </c>
      <c r="J50" s="57">
        <f t="shared" si="7"/>
        <v>0</v>
      </c>
    </row>
    <row r="51" spans="1:10" x14ac:dyDescent="0.25">
      <c r="A51" s="59"/>
      <c r="B51" s="46"/>
      <c r="C51" s="44"/>
      <c r="D51" s="44"/>
      <c r="E51" s="45">
        <v>0</v>
      </c>
      <c r="F51" s="42">
        <v>18</v>
      </c>
      <c r="G51" s="56">
        <f t="shared" si="4"/>
        <v>0</v>
      </c>
      <c r="H51" s="56">
        <f t="shared" si="5"/>
        <v>0</v>
      </c>
      <c r="I51" s="56">
        <f t="shared" si="6"/>
        <v>0</v>
      </c>
      <c r="J51" s="57">
        <f t="shared" si="7"/>
        <v>0</v>
      </c>
    </row>
    <row r="52" spans="1:10" x14ac:dyDescent="0.25">
      <c r="A52" s="59"/>
      <c r="B52" s="46"/>
      <c r="C52" s="44"/>
      <c r="D52" s="44"/>
      <c r="E52" s="45">
        <v>0</v>
      </c>
      <c r="F52" s="42">
        <v>18</v>
      </c>
      <c r="G52" s="56">
        <f t="shared" si="4"/>
        <v>0</v>
      </c>
      <c r="H52" s="56">
        <f t="shared" si="5"/>
        <v>0</v>
      </c>
      <c r="I52" s="56">
        <f t="shared" si="6"/>
        <v>0</v>
      </c>
      <c r="J52" s="57">
        <f t="shared" si="7"/>
        <v>0</v>
      </c>
    </row>
    <row r="53" spans="1:10" x14ac:dyDescent="0.25">
      <c r="A53" s="59"/>
      <c r="B53" s="46"/>
      <c r="C53" s="44"/>
      <c r="D53" s="44"/>
      <c r="E53" s="45">
        <v>0</v>
      </c>
      <c r="F53" s="42">
        <v>18</v>
      </c>
      <c r="G53" s="56">
        <f t="shared" si="4"/>
        <v>0</v>
      </c>
      <c r="H53" s="56">
        <f t="shared" si="5"/>
        <v>0</v>
      </c>
      <c r="I53" s="56">
        <f t="shared" si="6"/>
        <v>0</v>
      </c>
      <c r="J53" s="57">
        <f t="shared" si="7"/>
        <v>0</v>
      </c>
    </row>
    <row r="54" spans="1:10" x14ac:dyDescent="0.25">
      <c r="A54" s="59"/>
      <c r="B54" s="46"/>
      <c r="C54" s="44"/>
      <c r="D54" s="44"/>
      <c r="E54" s="45">
        <v>0</v>
      </c>
      <c r="F54" s="42">
        <v>18</v>
      </c>
      <c r="G54" s="56">
        <f t="shared" si="4"/>
        <v>0</v>
      </c>
      <c r="H54" s="56">
        <f t="shared" si="5"/>
        <v>0</v>
      </c>
      <c r="I54" s="56">
        <f t="shared" si="6"/>
        <v>0</v>
      </c>
      <c r="J54" s="57">
        <f t="shared" si="7"/>
        <v>0</v>
      </c>
    </row>
    <row r="55" spans="1:10" x14ac:dyDescent="0.25">
      <c r="A55" s="59"/>
      <c r="B55" s="46"/>
      <c r="C55" s="44"/>
      <c r="D55" s="44"/>
      <c r="E55" s="45">
        <v>0</v>
      </c>
      <c r="F55" s="42">
        <v>18</v>
      </c>
      <c r="G55" s="56">
        <f t="shared" si="4"/>
        <v>0</v>
      </c>
      <c r="H55" s="56">
        <f t="shared" si="5"/>
        <v>0</v>
      </c>
      <c r="I55" s="56">
        <f t="shared" si="6"/>
        <v>0</v>
      </c>
      <c r="J55" s="57">
        <f t="shared" si="7"/>
        <v>0</v>
      </c>
    </row>
    <row r="56" spans="1:10" x14ac:dyDescent="0.25">
      <c r="A56" s="59"/>
      <c r="B56" s="46"/>
      <c r="C56" s="44"/>
      <c r="D56" s="44"/>
      <c r="E56" s="45">
        <v>0</v>
      </c>
      <c r="F56" s="42">
        <v>18</v>
      </c>
      <c r="G56" s="56">
        <f t="shared" si="4"/>
        <v>0</v>
      </c>
      <c r="H56" s="56">
        <f t="shared" si="5"/>
        <v>0</v>
      </c>
      <c r="I56" s="56">
        <f t="shared" si="6"/>
        <v>0</v>
      </c>
      <c r="J56" s="57">
        <f t="shared" si="7"/>
        <v>0</v>
      </c>
    </row>
    <row r="57" spans="1:10" x14ac:dyDescent="0.25">
      <c r="A57" s="59"/>
      <c r="B57" s="46"/>
      <c r="C57" s="44"/>
      <c r="D57" s="44"/>
      <c r="E57" s="45">
        <v>0</v>
      </c>
      <c r="F57" s="42">
        <v>18</v>
      </c>
      <c r="G57" s="56">
        <f t="shared" si="4"/>
        <v>0</v>
      </c>
      <c r="H57" s="56">
        <f t="shared" si="5"/>
        <v>0</v>
      </c>
      <c r="I57" s="56">
        <f t="shared" si="6"/>
        <v>0</v>
      </c>
      <c r="J57" s="57">
        <f t="shared" si="7"/>
        <v>0</v>
      </c>
    </row>
    <row r="58" spans="1:10" x14ac:dyDescent="0.25">
      <c r="A58" s="59"/>
      <c r="B58" s="46"/>
      <c r="C58" s="44"/>
      <c r="D58" s="44"/>
      <c r="E58" s="45">
        <v>0</v>
      </c>
      <c r="F58" s="42">
        <v>18</v>
      </c>
      <c r="G58" s="56">
        <f t="shared" si="4"/>
        <v>0</v>
      </c>
      <c r="H58" s="56">
        <f t="shared" si="5"/>
        <v>0</v>
      </c>
      <c r="I58" s="56">
        <f t="shared" si="6"/>
        <v>0</v>
      </c>
      <c r="J58" s="57">
        <f t="shared" si="7"/>
        <v>0</v>
      </c>
    </row>
    <row r="59" spans="1:10" x14ac:dyDescent="0.25">
      <c r="A59" s="59"/>
      <c r="B59" s="46"/>
      <c r="C59" s="44"/>
      <c r="D59" s="44"/>
      <c r="E59" s="45">
        <v>0</v>
      </c>
      <c r="F59" s="42">
        <v>18</v>
      </c>
      <c r="G59" s="56">
        <f t="shared" si="4"/>
        <v>0</v>
      </c>
      <c r="H59" s="56">
        <f t="shared" si="5"/>
        <v>0</v>
      </c>
      <c r="I59" s="56">
        <f t="shared" si="6"/>
        <v>0</v>
      </c>
      <c r="J59" s="57">
        <f t="shared" si="7"/>
        <v>0</v>
      </c>
    </row>
    <row r="60" spans="1:10" x14ac:dyDescent="0.25">
      <c r="A60" s="59"/>
      <c r="B60" s="46"/>
      <c r="C60" s="44"/>
      <c r="D60" s="44"/>
      <c r="E60" s="45">
        <v>0</v>
      </c>
      <c r="F60" s="42">
        <v>18</v>
      </c>
      <c r="G60" s="56">
        <f t="shared" si="4"/>
        <v>0</v>
      </c>
      <c r="H60" s="56">
        <f t="shared" si="5"/>
        <v>0</v>
      </c>
      <c r="I60" s="56">
        <f t="shared" si="6"/>
        <v>0</v>
      </c>
      <c r="J60" s="57">
        <f t="shared" si="7"/>
        <v>0</v>
      </c>
    </row>
    <row r="61" spans="1:10" x14ac:dyDescent="0.25">
      <c r="A61" s="59"/>
      <c r="B61" s="46"/>
      <c r="C61" s="44"/>
      <c r="D61" s="44"/>
      <c r="E61" s="45">
        <v>0</v>
      </c>
      <c r="F61" s="42">
        <v>18</v>
      </c>
      <c r="G61" s="56">
        <f t="shared" si="4"/>
        <v>0</v>
      </c>
      <c r="H61" s="56">
        <f t="shared" si="5"/>
        <v>0</v>
      </c>
      <c r="I61" s="56">
        <f t="shared" si="6"/>
        <v>0</v>
      </c>
      <c r="J61" s="57">
        <f t="shared" si="7"/>
        <v>0</v>
      </c>
    </row>
    <row r="62" spans="1:10" x14ac:dyDescent="0.25">
      <c r="A62" s="59"/>
      <c r="B62" s="46"/>
      <c r="C62" s="44"/>
      <c r="D62" s="44"/>
      <c r="E62" s="45">
        <v>0</v>
      </c>
      <c r="F62" s="42">
        <v>18</v>
      </c>
      <c r="G62" s="56">
        <f t="shared" si="4"/>
        <v>0</v>
      </c>
      <c r="H62" s="56">
        <f t="shared" si="5"/>
        <v>0</v>
      </c>
      <c r="I62" s="56">
        <f t="shared" si="6"/>
        <v>0</v>
      </c>
      <c r="J62" s="57">
        <f t="shared" si="7"/>
        <v>0</v>
      </c>
    </row>
    <row r="63" spans="1:10" x14ac:dyDescent="0.25">
      <c r="A63" s="59"/>
      <c r="B63" s="46"/>
      <c r="C63" s="44"/>
      <c r="D63" s="44"/>
      <c r="E63" s="45">
        <v>0</v>
      </c>
      <c r="F63" s="42">
        <v>18</v>
      </c>
      <c r="G63" s="56">
        <f t="shared" si="4"/>
        <v>0</v>
      </c>
      <c r="H63" s="56">
        <f t="shared" si="5"/>
        <v>0</v>
      </c>
      <c r="I63" s="56">
        <f t="shared" si="6"/>
        <v>0</v>
      </c>
      <c r="J63" s="57">
        <f t="shared" si="7"/>
        <v>0</v>
      </c>
    </row>
    <row r="64" spans="1:10" x14ac:dyDescent="0.25">
      <c r="A64" s="59"/>
      <c r="B64" s="46"/>
      <c r="C64" s="44"/>
      <c r="D64" s="44"/>
      <c r="E64" s="45">
        <v>0</v>
      </c>
      <c r="F64" s="42">
        <v>18</v>
      </c>
      <c r="G64" s="56">
        <f t="shared" si="4"/>
        <v>0</v>
      </c>
      <c r="H64" s="56">
        <f t="shared" si="5"/>
        <v>0</v>
      </c>
      <c r="I64" s="56">
        <f t="shared" si="6"/>
        <v>0</v>
      </c>
      <c r="J64" s="57">
        <f t="shared" si="7"/>
        <v>0</v>
      </c>
    </row>
    <row r="65" spans="1:10" x14ac:dyDescent="0.25">
      <c r="A65" s="59"/>
      <c r="B65" s="46"/>
      <c r="C65" s="44"/>
      <c r="D65" s="44"/>
      <c r="E65" s="45">
        <v>0</v>
      </c>
      <c r="F65" s="42">
        <v>18</v>
      </c>
      <c r="G65" s="56">
        <f t="shared" si="4"/>
        <v>0</v>
      </c>
      <c r="H65" s="56">
        <f t="shared" si="5"/>
        <v>0</v>
      </c>
      <c r="I65" s="56">
        <f t="shared" si="6"/>
        <v>0</v>
      </c>
      <c r="J65" s="57">
        <f t="shared" si="7"/>
        <v>0</v>
      </c>
    </row>
    <row r="66" spans="1:10" x14ac:dyDescent="0.25">
      <c r="A66" s="59"/>
      <c r="B66" s="46"/>
      <c r="C66" s="44"/>
      <c r="D66" s="44"/>
      <c r="E66" s="45">
        <v>0</v>
      </c>
      <c r="F66" s="42">
        <v>18</v>
      </c>
      <c r="G66" s="56">
        <f t="shared" si="4"/>
        <v>0</v>
      </c>
      <c r="H66" s="56">
        <f t="shared" si="5"/>
        <v>0</v>
      </c>
      <c r="I66" s="56">
        <f t="shared" si="6"/>
        <v>0</v>
      </c>
      <c r="J66" s="57">
        <f t="shared" si="7"/>
        <v>0</v>
      </c>
    </row>
    <row r="67" spans="1:10" x14ac:dyDescent="0.25">
      <c r="A67" s="59"/>
      <c r="B67" s="46"/>
      <c r="C67" s="44"/>
      <c r="D67" s="44"/>
      <c r="E67" s="45">
        <v>0</v>
      </c>
      <c r="F67" s="42">
        <v>18</v>
      </c>
      <c r="G67" s="56">
        <f t="shared" si="4"/>
        <v>0</v>
      </c>
      <c r="H67" s="56">
        <f t="shared" si="5"/>
        <v>0</v>
      </c>
      <c r="I67" s="56">
        <f t="shared" si="6"/>
        <v>0</v>
      </c>
      <c r="J67" s="57">
        <f t="shared" si="7"/>
        <v>0</v>
      </c>
    </row>
    <row r="68" spans="1:10" x14ac:dyDescent="0.25">
      <c r="A68" s="59"/>
      <c r="B68" s="46"/>
      <c r="C68" s="44"/>
      <c r="D68" s="44"/>
      <c r="E68" s="45">
        <v>0</v>
      </c>
      <c r="F68" s="42">
        <v>18</v>
      </c>
      <c r="G68" s="56">
        <f t="shared" ref="G68:G131" si="8">ROUND((E68*F68%)/2,)</f>
        <v>0</v>
      </c>
      <c r="H68" s="56">
        <f t="shared" ref="H68:H131" si="9">G68</f>
        <v>0</v>
      </c>
      <c r="I68" s="56">
        <f t="shared" ref="I68:I131" si="10">G68+H68</f>
        <v>0</v>
      </c>
      <c r="J68" s="57">
        <f t="shared" ref="J68:J131" si="11">E68+I68</f>
        <v>0</v>
      </c>
    </row>
    <row r="69" spans="1:10" x14ac:dyDescent="0.25">
      <c r="A69" s="59"/>
      <c r="B69" s="46"/>
      <c r="C69" s="44"/>
      <c r="D69" s="44"/>
      <c r="E69" s="45">
        <v>0</v>
      </c>
      <c r="F69" s="42">
        <v>18</v>
      </c>
      <c r="G69" s="56">
        <f t="shared" si="8"/>
        <v>0</v>
      </c>
      <c r="H69" s="56">
        <f t="shared" si="9"/>
        <v>0</v>
      </c>
      <c r="I69" s="56">
        <f t="shared" si="10"/>
        <v>0</v>
      </c>
      <c r="J69" s="57">
        <f t="shared" si="11"/>
        <v>0</v>
      </c>
    </row>
    <row r="70" spans="1:10" x14ac:dyDescent="0.25">
      <c r="A70" s="59"/>
      <c r="B70" s="46"/>
      <c r="C70" s="44"/>
      <c r="D70" s="44"/>
      <c r="E70" s="45">
        <v>0</v>
      </c>
      <c r="F70" s="42">
        <v>18</v>
      </c>
      <c r="G70" s="56">
        <f t="shared" si="8"/>
        <v>0</v>
      </c>
      <c r="H70" s="56">
        <f t="shared" si="9"/>
        <v>0</v>
      </c>
      <c r="I70" s="56">
        <f t="shared" si="10"/>
        <v>0</v>
      </c>
      <c r="J70" s="57">
        <f t="shared" si="11"/>
        <v>0</v>
      </c>
    </row>
    <row r="71" spans="1:10" x14ac:dyDescent="0.25">
      <c r="A71" s="59"/>
      <c r="B71" s="46"/>
      <c r="C71" s="44"/>
      <c r="D71" s="44"/>
      <c r="E71" s="45">
        <v>0</v>
      </c>
      <c r="F71" s="42">
        <v>18</v>
      </c>
      <c r="G71" s="56">
        <f t="shared" si="8"/>
        <v>0</v>
      </c>
      <c r="H71" s="56">
        <f t="shared" si="9"/>
        <v>0</v>
      </c>
      <c r="I71" s="56">
        <f t="shared" si="10"/>
        <v>0</v>
      </c>
      <c r="J71" s="57">
        <f t="shared" si="11"/>
        <v>0</v>
      </c>
    </row>
    <row r="72" spans="1:10" x14ac:dyDescent="0.25">
      <c r="A72" s="59"/>
      <c r="B72" s="46"/>
      <c r="C72" s="44"/>
      <c r="D72" s="44"/>
      <c r="E72" s="45">
        <v>0</v>
      </c>
      <c r="F72" s="42">
        <v>18</v>
      </c>
      <c r="G72" s="56">
        <f t="shared" si="8"/>
        <v>0</v>
      </c>
      <c r="H72" s="56">
        <f t="shared" si="9"/>
        <v>0</v>
      </c>
      <c r="I72" s="56">
        <f t="shared" si="10"/>
        <v>0</v>
      </c>
      <c r="J72" s="57">
        <f t="shared" si="11"/>
        <v>0</v>
      </c>
    </row>
    <row r="73" spans="1:10" x14ac:dyDescent="0.25">
      <c r="A73" s="59"/>
      <c r="B73" s="46"/>
      <c r="C73" s="44"/>
      <c r="D73" s="44"/>
      <c r="E73" s="45">
        <v>0</v>
      </c>
      <c r="F73" s="42">
        <v>18</v>
      </c>
      <c r="G73" s="56">
        <f t="shared" si="8"/>
        <v>0</v>
      </c>
      <c r="H73" s="56">
        <f t="shared" si="9"/>
        <v>0</v>
      </c>
      <c r="I73" s="56">
        <f t="shared" si="10"/>
        <v>0</v>
      </c>
      <c r="J73" s="57">
        <f t="shared" si="11"/>
        <v>0</v>
      </c>
    </row>
    <row r="74" spans="1:10" x14ac:dyDescent="0.25">
      <c r="A74" s="59"/>
      <c r="B74" s="46"/>
      <c r="C74" s="44"/>
      <c r="D74" s="44"/>
      <c r="E74" s="45">
        <v>0</v>
      </c>
      <c r="F74" s="42">
        <v>18</v>
      </c>
      <c r="G74" s="56">
        <f t="shared" si="8"/>
        <v>0</v>
      </c>
      <c r="H74" s="56">
        <f t="shared" si="9"/>
        <v>0</v>
      </c>
      <c r="I74" s="56">
        <f t="shared" si="10"/>
        <v>0</v>
      </c>
      <c r="J74" s="57">
        <f t="shared" si="11"/>
        <v>0</v>
      </c>
    </row>
    <row r="75" spans="1:10" x14ac:dyDescent="0.25">
      <c r="A75" s="59"/>
      <c r="B75" s="46"/>
      <c r="C75" s="44"/>
      <c r="D75" s="44"/>
      <c r="E75" s="45">
        <v>0</v>
      </c>
      <c r="F75" s="42">
        <v>18</v>
      </c>
      <c r="G75" s="56">
        <f t="shared" si="8"/>
        <v>0</v>
      </c>
      <c r="H75" s="56">
        <f t="shared" si="9"/>
        <v>0</v>
      </c>
      <c r="I75" s="56">
        <f t="shared" si="10"/>
        <v>0</v>
      </c>
      <c r="J75" s="57">
        <f t="shared" si="11"/>
        <v>0</v>
      </c>
    </row>
    <row r="76" spans="1:10" x14ac:dyDescent="0.25">
      <c r="A76" s="59"/>
      <c r="B76" s="46"/>
      <c r="C76" s="44"/>
      <c r="D76" s="44"/>
      <c r="E76" s="45">
        <v>0</v>
      </c>
      <c r="F76" s="42">
        <v>18</v>
      </c>
      <c r="G76" s="56">
        <f t="shared" si="8"/>
        <v>0</v>
      </c>
      <c r="H76" s="56">
        <f t="shared" si="9"/>
        <v>0</v>
      </c>
      <c r="I76" s="56">
        <f t="shared" si="10"/>
        <v>0</v>
      </c>
      <c r="J76" s="57">
        <f t="shared" si="11"/>
        <v>0</v>
      </c>
    </row>
    <row r="77" spans="1:10" x14ac:dyDescent="0.25">
      <c r="A77" s="59"/>
      <c r="B77" s="46"/>
      <c r="C77" s="44"/>
      <c r="D77" s="44"/>
      <c r="E77" s="45">
        <v>0</v>
      </c>
      <c r="F77" s="42">
        <v>18</v>
      </c>
      <c r="G77" s="56">
        <f t="shared" si="8"/>
        <v>0</v>
      </c>
      <c r="H77" s="56">
        <f t="shared" si="9"/>
        <v>0</v>
      </c>
      <c r="I77" s="56">
        <f t="shared" si="10"/>
        <v>0</v>
      </c>
      <c r="J77" s="57">
        <f t="shared" si="11"/>
        <v>0</v>
      </c>
    </row>
    <row r="78" spans="1:10" x14ac:dyDescent="0.25">
      <c r="A78" s="59"/>
      <c r="B78" s="46"/>
      <c r="C78" s="44"/>
      <c r="D78" s="44"/>
      <c r="E78" s="45">
        <v>0</v>
      </c>
      <c r="F78" s="42">
        <v>18</v>
      </c>
      <c r="G78" s="56">
        <f t="shared" si="8"/>
        <v>0</v>
      </c>
      <c r="H78" s="56">
        <f t="shared" si="9"/>
        <v>0</v>
      </c>
      <c r="I78" s="56">
        <f t="shared" si="10"/>
        <v>0</v>
      </c>
      <c r="J78" s="57">
        <f t="shared" si="11"/>
        <v>0</v>
      </c>
    </row>
    <row r="79" spans="1:10" x14ac:dyDescent="0.25">
      <c r="A79" s="59"/>
      <c r="B79" s="46"/>
      <c r="C79" s="44"/>
      <c r="D79" s="44"/>
      <c r="E79" s="45">
        <v>0</v>
      </c>
      <c r="F79" s="42">
        <v>18</v>
      </c>
      <c r="G79" s="56">
        <f t="shared" si="8"/>
        <v>0</v>
      </c>
      <c r="H79" s="56">
        <f t="shared" si="9"/>
        <v>0</v>
      </c>
      <c r="I79" s="56">
        <f t="shared" si="10"/>
        <v>0</v>
      </c>
      <c r="J79" s="57">
        <f t="shared" si="11"/>
        <v>0</v>
      </c>
    </row>
    <row r="80" spans="1:10" x14ac:dyDescent="0.25">
      <c r="A80" s="59"/>
      <c r="B80" s="46"/>
      <c r="C80" s="44"/>
      <c r="D80" s="44"/>
      <c r="E80" s="45">
        <v>0</v>
      </c>
      <c r="F80" s="42">
        <v>18</v>
      </c>
      <c r="G80" s="56">
        <f t="shared" si="8"/>
        <v>0</v>
      </c>
      <c r="H80" s="56">
        <f t="shared" si="9"/>
        <v>0</v>
      </c>
      <c r="I80" s="56">
        <f t="shared" si="10"/>
        <v>0</v>
      </c>
      <c r="J80" s="57">
        <f t="shared" si="11"/>
        <v>0</v>
      </c>
    </row>
    <row r="81" spans="1:10" x14ac:dyDescent="0.25">
      <c r="A81" s="59"/>
      <c r="B81" s="46"/>
      <c r="C81" s="44"/>
      <c r="D81" s="44"/>
      <c r="E81" s="45">
        <v>0</v>
      </c>
      <c r="F81" s="42">
        <v>18</v>
      </c>
      <c r="G81" s="56">
        <f t="shared" si="8"/>
        <v>0</v>
      </c>
      <c r="H81" s="56">
        <f t="shared" si="9"/>
        <v>0</v>
      </c>
      <c r="I81" s="56">
        <f t="shared" si="10"/>
        <v>0</v>
      </c>
      <c r="J81" s="57">
        <f t="shared" si="11"/>
        <v>0</v>
      </c>
    </row>
    <row r="82" spans="1:10" x14ac:dyDescent="0.25">
      <c r="A82" s="59"/>
      <c r="B82" s="46"/>
      <c r="C82" s="44"/>
      <c r="D82" s="44"/>
      <c r="E82" s="45">
        <v>0</v>
      </c>
      <c r="F82" s="42">
        <v>18</v>
      </c>
      <c r="G82" s="56">
        <f t="shared" si="8"/>
        <v>0</v>
      </c>
      <c r="H82" s="56">
        <f t="shared" si="9"/>
        <v>0</v>
      </c>
      <c r="I82" s="56">
        <f t="shared" si="10"/>
        <v>0</v>
      </c>
      <c r="J82" s="57">
        <f t="shared" si="11"/>
        <v>0</v>
      </c>
    </row>
    <row r="83" spans="1:10" x14ac:dyDescent="0.25">
      <c r="A83" s="59"/>
      <c r="B83" s="46"/>
      <c r="C83" s="44"/>
      <c r="D83" s="44"/>
      <c r="E83" s="45">
        <v>0</v>
      </c>
      <c r="F83" s="42">
        <v>18</v>
      </c>
      <c r="G83" s="56">
        <f t="shared" si="8"/>
        <v>0</v>
      </c>
      <c r="H83" s="56">
        <f t="shared" si="9"/>
        <v>0</v>
      </c>
      <c r="I83" s="56">
        <f t="shared" si="10"/>
        <v>0</v>
      </c>
      <c r="J83" s="57">
        <f t="shared" si="11"/>
        <v>0</v>
      </c>
    </row>
    <row r="84" spans="1:10" x14ac:dyDescent="0.25">
      <c r="A84" s="59"/>
      <c r="B84" s="46"/>
      <c r="C84" s="44"/>
      <c r="D84" s="44"/>
      <c r="E84" s="45">
        <v>0</v>
      </c>
      <c r="F84" s="42">
        <v>18</v>
      </c>
      <c r="G84" s="56">
        <f t="shared" si="8"/>
        <v>0</v>
      </c>
      <c r="H84" s="56">
        <f t="shared" si="9"/>
        <v>0</v>
      </c>
      <c r="I84" s="56">
        <f t="shared" si="10"/>
        <v>0</v>
      </c>
      <c r="J84" s="57">
        <f t="shared" si="11"/>
        <v>0</v>
      </c>
    </row>
    <row r="85" spans="1:10" x14ac:dyDescent="0.25">
      <c r="A85" s="59"/>
      <c r="B85" s="46"/>
      <c r="C85" s="44"/>
      <c r="D85" s="44"/>
      <c r="E85" s="45">
        <v>0</v>
      </c>
      <c r="F85" s="42">
        <v>18</v>
      </c>
      <c r="G85" s="56">
        <f t="shared" si="8"/>
        <v>0</v>
      </c>
      <c r="H85" s="56">
        <f t="shared" si="9"/>
        <v>0</v>
      </c>
      <c r="I85" s="56">
        <f t="shared" si="10"/>
        <v>0</v>
      </c>
      <c r="J85" s="57">
        <f t="shared" si="11"/>
        <v>0</v>
      </c>
    </row>
    <row r="86" spans="1:10" x14ac:dyDescent="0.25">
      <c r="A86" s="59"/>
      <c r="B86" s="46"/>
      <c r="C86" s="44"/>
      <c r="D86" s="44"/>
      <c r="E86" s="45">
        <v>0</v>
      </c>
      <c r="F86" s="42">
        <v>18</v>
      </c>
      <c r="G86" s="56">
        <f t="shared" si="8"/>
        <v>0</v>
      </c>
      <c r="H86" s="56">
        <f t="shared" si="9"/>
        <v>0</v>
      </c>
      <c r="I86" s="56">
        <f t="shared" si="10"/>
        <v>0</v>
      </c>
      <c r="J86" s="57">
        <f t="shared" si="11"/>
        <v>0</v>
      </c>
    </row>
    <row r="87" spans="1:10" x14ac:dyDescent="0.25">
      <c r="A87" s="59"/>
      <c r="B87" s="46"/>
      <c r="C87" s="44"/>
      <c r="D87" s="44"/>
      <c r="E87" s="45">
        <v>0</v>
      </c>
      <c r="F87" s="42">
        <v>18</v>
      </c>
      <c r="G87" s="56">
        <f t="shared" si="8"/>
        <v>0</v>
      </c>
      <c r="H87" s="56">
        <f t="shared" si="9"/>
        <v>0</v>
      </c>
      <c r="I87" s="56">
        <f t="shared" si="10"/>
        <v>0</v>
      </c>
      <c r="J87" s="57">
        <f t="shared" si="11"/>
        <v>0</v>
      </c>
    </row>
    <row r="88" spans="1:10" x14ac:dyDescent="0.25">
      <c r="A88" s="59"/>
      <c r="B88" s="46"/>
      <c r="C88" s="44"/>
      <c r="D88" s="44"/>
      <c r="E88" s="45">
        <v>0</v>
      </c>
      <c r="F88" s="42">
        <v>18</v>
      </c>
      <c r="G88" s="56">
        <f t="shared" si="8"/>
        <v>0</v>
      </c>
      <c r="H88" s="56">
        <f t="shared" si="9"/>
        <v>0</v>
      </c>
      <c r="I88" s="56">
        <f t="shared" si="10"/>
        <v>0</v>
      </c>
      <c r="J88" s="57">
        <f t="shared" si="11"/>
        <v>0</v>
      </c>
    </row>
    <row r="89" spans="1:10" x14ac:dyDescent="0.25">
      <c r="A89" s="59"/>
      <c r="B89" s="46"/>
      <c r="C89" s="44"/>
      <c r="D89" s="44"/>
      <c r="E89" s="45">
        <v>0</v>
      </c>
      <c r="F89" s="42">
        <v>18</v>
      </c>
      <c r="G89" s="56">
        <f t="shared" si="8"/>
        <v>0</v>
      </c>
      <c r="H89" s="56">
        <f t="shared" si="9"/>
        <v>0</v>
      </c>
      <c r="I89" s="56">
        <f t="shared" si="10"/>
        <v>0</v>
      </c>
      <c r="J89" s="57">
        <f t="shared" si="11"/>
        <v>0</v>
      </c>
    </row>
    <row r="90" spans="1:10" x14ac:dyDescent="0.25">
      <c r="A90" s="59"/>
      <c r="B90" s="46"/>
      <c r="C90" s="44"/>
      <c r="D90" s="44"/>
      <c r="E90" s="45">
        <v>0</v>
      </c>
      <c r="F90" s="42">
        <v>18</v>
      </c>
      <c r="G90" s="56">
        <f t="shared" si="8"/>
        <v>0</v>
      </c>
      <c r="H90" s="56">
        <f t="shared" si="9"/>
        <v>0</v>
      </c>
      <c r="I90" s="56">
        <f t="shared" si="10"/>
        <v>0</v>
      </c>
      <c r="J90" s="57">
        <f t="shared" si="11"/>
        <v>0</v>
      </c>
    </row>
    <row r="91" spans="1:10" x14ac:dyDescent="0.25">
      <c r="A91" s="59"/>
      <c r="B91" s="46"/>
      <c r="C91" s="44"/>
      <c r="D91" s="44"/>
      <c r="E91" s="45">
        <v>0</v>
      </c>
      <c r="F91" s="42">
        <v>18</v>
      </c>
      <c r="G91" s="56">
        <f t="shared" si="8"/>
        <v>0</v>
      </c>
      <c r="H91" s="56">
        <f t="shared" si="9"/>
        <v>0</v>
      </c>
      <c r="I91" s="56">
        <f t="shared" si="10"/>
        <v>0</v>
      </c>
      <c r="J91" s="57">
        <f t="shared" si="11"/>
        <v>0</v>
      </c>
    </row>
    <row r="92" spans="1:10" x14ac:dyDescent="0.25">
      <c r="A92" s="59"/>
      <c r="B92" s="46"/>
      <c r="C92" s="44"/>
      <c r="D92" s="44"/>
      <c r="E92" s="45">
        <v>0</v>
      </c>
      <c r="F92" s="42">
        <v>18</v>
      </c>
      <c r="G92" s="56">
        <f t="shared" si="8"/>
        <v>0</v>
      </c>
      <c r="H92" s="56">
        <f t="shared" si="9"/>
        <v>0</v>
      </c>
      <c r="I92" s="56">
        <f t="shared" si="10"/>
        <v>0</v>
      </c>
      <c r="J92" s="57">
        <f t="shared" si="11"/>
        <v>0</v>
      </c>
    </row>
    <row r="93" spans="1:10" x14ac:dyDescent="0.25">
      <c r="A93" s="59"/>
      <c r="B93" s="46"/>
      <c r="C93" s="44"/>
      <c r="D93" s="44"/>
      <c r="E93" s="45">
        <v>0</v>
      </c>
      <c r="F93" s="42">
        <v>18</v>
      </c>
      <c r="G93" s="56">
        <f t="shared" si="8"/>
        <v>0</v>
      </c>
      <c r="H93" s="56">
        <f t="shared" si="9"/>
        <v>0</v>
      </c>
      <c r="I93" s="56">
        <f t="shared" si="10"/>
        <v>0</v>
      </c>
      <c r="J93" s="57">
        <f t="shared" si="11"/>
        <v>0</v>
      </c>
    </row>
    <row r="94" spans="1:10" x14ac:dyDescent="0.25">
      <c r="A94" s="59"/>
      <c r="B94" s="46"/>
      <c r="C94" s="44"/>
      <c r="D94" s="44"/>
      <c r="E94" s="45">
        <v>0</v>
      </c>
      <c r="F94" s="42">
        <v>18</v>
      </c>
      <c r="G94" s="56">
        <f t="shared" si="8"/>
        <v>0</v>
      </c>
      <c r="H94" s="56">
        <f t="shared" si="9"/>
        <v>0</v>
      </c>
      <c r="I94" s="56">
        <f t="shared" si="10"/>
        <v>0</v>
      </c>
      <c r="J94" s="57">
        <f t="shared" si="11"/>
        <v>0</v>
      </c>
    </row>
    <row r="95" spans="1:10" x14ac:dyDescent="0.25">
      <c r="A95" s="59"/>
      <c r="B95" s="46"/>
      <c r="C95" s="44"/>
      <c r="D95" s="44"/>
      <c r="E95" s="45">
        <v>0</v>
      </c>
      <c r="F95" s="42">
        <v>18</v>
      </c>
      <c r="G95" s="56">
        <f t="shared" si="8"/>
        <v>0</v>
      </c>
      <c r="H95" s="56">
        <f t="shared" si="9"/>
        <v>0</v>
      </c>
      <c r="I95" s="56">
        <f t="shared" si="10"/>
        <v>0</v>
      </c>
      <c r="J95" s="57">
        <f t="shared" si="11"/>
        <v>0</v>
      </c>
    </row>
    <row r="96" spans="1:10" x14ac:dyDescent="0.25">
      <c r="A96" s="59"/>
      <c r="B96" s="46"/>
      <c r="C96" s="44"/>
      <c r="D96" s="44"/>
      <c r="E96" s="45">
        <v>0</v>
      </c>
      <c r="F96" s="42">
        <v>18</v>
      </c>
      <c r="G96" s="56">
        <f t="shared" si="8"/>
        <v>0</v>
      </c>
      <c r="H96" s="56">
        <f t="shared" si="9"/>
        <v>0</v>
      </c>
      <c r="I96" s="56">
        <f t="shared" si="10"/>
        <v>0</v>
      </c>
      <c r="J96" s="57">
        <f t="shared" si="11"/>
        <v>0</v>
      </c>
    </row>
    <row r="97" spans="1:10" x14ac:dyDescent="0.25">
      <c r="A97" s="59"/>
      <c r="B97" s="46"/>
      <c r="C97" s="44"/>
      <c r="D97" s="44"/>
      <c r="E97" s="45">
        <v>0</v>
      </c>
      <c r="F97" s="42">
        <v>18</v>
      </c>
      <c r="G97" s="56">
        <f t="shared" si="8"/>
        <v>0</v>
      </c>
      <c r="H97" s="56">
        <f t="shared" si="9"/>
        <v>0</v>
      </c>
      <c r="I97" s="56">
        <f t="shared" si="10"/>
        <v>0</v>
      </c>
      <c r="J97" s="57">
        <f t="shared" si="11"/>
        <v>0</v>
      </c>
    </row>
    <row r="98" spans="1:10" x14ac:dyDescent="0.25">
      <c r="A98" s="59"/>
      <c r="B98" s="46"/>
      <c r="C98" s="44"/>
      <c r="D98" s="44"/>
      <c r="E98" s="45">
        <v>0</v>
      </c>
      <c r="F98" s="42">
        <v>18</v>
      </c>
      <c r="G98" s="56">
        <f t="shared" si="8"/>
        <v>0</v>
      </c>
      <c r="H98" s="56">
        <f t="shared" si="9"/>
        <v>0</v>
      </c>
      <c r="I98" s="56">
        <f t="shared" si="10"/>
        <v>0</v>
      </c>
      <c r="J98" s="57">
        <f t="shared" si="11"/>
        <v>0</v>
      </c>
    </row>
    <row r="99" spans="1:10" x14ac:dyDescent="0.25">
      <c r="A99" s="59"/>
      <c r="B99" s="46"/>
      <c r="C99" s="44"/>
      <c r="D99" s="44"/>
      <c r="E99" s="45">
        <v>0</v>
      </c>
      <c r="F99" s="42">
        <v>18</v>
      </c>
      <c r="G99" s="56">
        <f t="shared" si="8"/>
        <v>0</v>
      </c>
      <c r="H99" s="56">
        <f t="shared" si="9"/>
        <v>0</v>
      </c>
      <c r="I99" s="56">
        <f t="shared" si="10"/>
        <v>0</v>
      </c>
      <c r="J99" s="57">
        <f t="shared" si="11"/>
        <v>0</v>
      </c>
    </row>
    <row r="100" spans="1:10" x14ac:dyDescent="0.25">
      <c r="A100" s="59"/>
      <c r="B100" s="46"/>
      <c r="C100" s="44"/>
      <c r="D100" s="44"/>
      <c r="E100" s="45">
        <v>0</v>
      </c>
      <c r="F100" s="42">
        <v>18</v>
      </c>
      <c r="G100" s="56">
        <f t="shared" si="8"/>
        <v>0</v>
      </c>
      <c r="H100" s="56">
        <f t="shared" si="9"/>
        <v>0</v>
      </c>
      <c r="I100" s="56">
        <f t="shared" si="10"/>
        <v>0</v>
      </c>
      <c r="J100" s="57">
        <f t="shared" si="11"/>
        <v>0</v>
      </c>
    </row>
    <row r="101" spans="1:10" x14ac:dyDescent="0.25">
      <c r="A101" s="59"/>
      <c r="B101" s="46"/>
      <c r="C101" s="44"/>
      <c r="D101" s="44"/>
      <c r="E101" s="45">
        <v>0</v>
      </c>
      <c r="F101" s="42">
        <v>18</v>
      </c>
      <c r="G101" s="56">
        <f t="shared" si="8"/>
        <v>0</v>
      </c>
      <c r="H101" s="56">
        <f t="shared" si="9"/>
        <v>0</v>
      </c>
      <c r="I101" s="56">
        <f t="shared" si="10"/>
        <v>0</v>
      </c>
      <c r="J101" s="57">
        <f t="shared" si="11"/>
        <v>0</v>
      </c>
    </row>
    <row r="102" spans="1:10" x14ac:dyDescent="0.25">
      <c r="A102" s="59"/>
      <c r="B102" s="46"/>
      <c r="C102" s="44"/>
      <c r="D102" s="44"/>
      <c r="E102" s="45">
        <v>0</v>
      </c>
      <c r="F102" s="42">
        <v>18</v>
      </c>
      <c r="G102" s="56">
        <f t="shared" si="8"/>
        <v>0</v>
      </c>
      <c r="H102" s="56">
        <f t="shared" si="9"/>
        <v>0</v>
      </c>
      <c r="I102" s="56">
        <f t="shared" si="10"/>
        <v>0</v>
      </c>
      <c r="J102" s="57">
        <f t="shared" si="11"/>
        <v>0</v>
      </c>
    </row>
    <row r="103" spans="1:10" x14ac:dyDescent="0.25">
      <c r="A103" s="59"/>
      <c r="B103" s="46"/>
      <c r="C103" s="44"/>
      <c r="D103" s="44"/>
      <c r="E103" s="45">
        <v>0</v>
      </c>
      <c r="F103" s="42">
        <v>18</v>
      </c>
      <c r="G103" s="56">
        <f t="shared" si="8"/>
        <v>0</v>
      </c>
      <c r="H103" s="56">
        <f t="shared" si="9"/>
        <v>0</v>
      </c>
      <c r="I103" s="56">
        <f t="shared" si="10"/>
        <v>0</v>
      </c>
      <c r="J103" s="57">
        <f t="shared" si="11"/>
        <v>0</v>
      </c>
    </row>
    <row r="104" spans="1:10" x14ac:dyDescent="0.25">
      <c r="A104" s="59"/>
      <c r="B104" s="46"/>
      <c r="C104" s="44"/>
      <c r="D104" s="44"/>
      <c r="E104" s="45">
        <v>0</v>
      </c>
      <c r="F104" s="42">
        <v>18</v>
      </c>
      <c r="G104" s="56">
        <f t="shared" si="8"/>
        <v>0</v>
      </c>
      <c r="H104" s="56">
        <f t="shared" si="9"/>
        <v>0</v>
      </c>
      <c r="I104" s="56">
        <f t="shared" si="10"/>
        <v>0</v>
      </c>
      <c r="J104" s="57">
        <f t="shared" si="11"/>
        <v>0</v>
      </c>
    </row>
    <row r="105" spans="1:10" x14ac:dyDescent="0.25">
      <c r="A105" s="59"/>
      <c r="B105" s="46"/>
      <c r="C105" s="44"/>
      <c r="D105" s="44"/>
      <c r="E105" s="45">
        <v>0</v>
      </c>
      <c r="F105" s="42">
        <v>18</v>
      </c>
      <c r="G105" s="56">
        <f t="shared" si="8"/>
        <v>0</v>
      </c>
      <c r="H105" s="56">
        <f t="shared" si="9"/>
        <v>0</v>
      </c>
      <c r="I105" s="56">
        <f t="shared" si="10"/>
        <v>0</v>
      </c>
      <c r="J105" s="57">
        <f t="shared" si="11"/>
        <v>0</v>
      </c>
    </row>
    <row r="106" spans="1:10" x14ac:dyDescent="0.25">
      <c r="A106" s="59"/>
      <c r="B106" s="46"/>
      <c r="C106" s="44"/>
      <c r="D106" s="44"/>
      <c r="E106" s="45">
        <v>0</v>
      </c>
      <c r="F106" s="42">
        <v>18</v>
      </c>
      <c r="G106" s="56">
        <f t="shared" si="8"/>
        <v>0</v>
      </c>
      <c r="H106" s="56">
        <f t="shared" si="9"/>
        <v>0</v>
      </c>
      <c r="I106" s="56">
        <f t="shared" si="10"/>
        <v>0</v>
      </c>
      <c r="J106" s="57">
        <f t="shared" si="11"/>
        <v>0</v>
      </c>
    </row>
    <row r="107" spans="1:10" x14ac:dyDescent="0.25">
      <c r="A107" s="59"/>
      <c r="B107" s="46"/>
      <c r="C107" s="44"/>
      <c r="D107" s="44"/>
      <c r="E107" s="45">
        <v>0</v>
      </c>
      <c r="F107" s="42">
        <v>18</v>
      </c>
      <c r="G107" s="56">
        <f t="shared" si="8"/>
        <v>0</v>
      </c>
      <c r="H107" s="56">
        <f t="shared" si="9"/>
        <v>0</v>
      </c>
      <c r="I107" s="56">
        <f t="shared" si="10"/>
        <v>0</v>
      </c>
      <c r="J107" s="57">
        <f t="shared" si="11"/>
        <v>0</v>
      </c>
    </row>
    <row r="108" spans="1:10" x14ac:dyDescent="0.25">
      <c r="A108" s="59"/>
      <c r="B108" s="46"/>
      <c r="C108" s="44"/>
      <c r="D108" s="44"/>
      <c r="E108" s="45">
        <v>0</v>
      </c>
      <c r="F108" s="42">
        <v>18</v>
      </c>
      <c r="G108" s="56">
        <f t="shared" si="8"/>
        <v>0</v>
      </c>
      <c r="H108" s="56">
        <f t="shared" si="9"/>
        <v>0</v>
      </c>
      <c r="I108" s="56">
        <f t="shared" si="10"/>
        <v>0</v>
      </c>
      <c r="J108" s="57">
        <f t="shared" si="11"/>
        <v>0</v>
      </c>
    </row>
    <row r="109" spans="1:10" x14ac:dyDescent="0.25">
      <c r="A109" s="59"/>
      <c r="B109" s="46"/>
      <c r="C109" s="44"/>
      <c r="D109" s="44"/>
      <c r="E109" s="45">
        <v>0</v>
      </c>
      <c r="F109" s="42">
        <v>18</v>
      </c>
      <c r="G109" s="56">
        <f t="shared" si="8"/>
        <v>0</v>
      </c>
      <c r="H109" s="56">
        <f t="shared" si="9"/>
        <v>0</v>
      </c>
      <c r="I109" s="56">
        <f t="shared" si="10"/>
        <v>0</v>
      </c>
      <c r="J109" s="57">
        <f t="shared" si="11"/>
        <v>0</v>
      </c>
    </row>
    <row r="110" spans="1:10" x14ac:dyDescent="0.25">
      <c r="A110" s="59"/>
      <c r="B110" s="46"/>
      <c r="C110" s="44"/>
      <c r="D110" s="44"/>
      <c r="E110" s="45">
        <v>0</v>
      </c>
      <c r="F110" s="42">
        <v>18</v>
      </c>
      <c r="G110" s="56">
        <f t="shared" si="8"/>
        <v>0</v>
      </c>
      <c r="H110" s="56">
        <f t="shared" si="9"/>
        <v>0</v>
      </c>
      <c r="I110" s="56">
        <f t="shared" si="10"/>
        <v>0</v>
      </c>
      <c r="J110" s="57">
        <f t="shared" si="11"/>
        <v>0</v>
      </c>
    </row>
    <row r="111" spans="1:10" x14ac:dyDescent="0.25">
      <c r="A111" s="59"/>
      <c r="B111" s="46"/>
      <c r="C111" s="44"/>
      <c r="D111" s="44"/>
      <c r="E111" s="45">
        <v>0</v>
      </c>
      <c r="F111" s="42">
        <v>18</v>
      </c>
      <c r="G111" s="56">
        <f t="shared" si="8"/>
        <v>0</v>
      </c>
      <c r="H111" s="56">
        <f t="shared" si="9"/>
        <v>0</v>
      </c>
      <c r="I111" s="56">
        <f t="shared" si="10"/>
        <v>0</v>
      </c>
      <c r="J111" s="57">
        <f t="shared" si="11"/>
        <v>0</v>
      </c>
    </row>
    <row r="112" spans="1:10" x14ac:dyDescent="0.25">
      <c r="A112" s="59"/>
      <c r="B112" s="46"/>
      <c r="C112" s="44"/>
      <c r="D112" s="44"/>
      <c r="E112" s="45">
        <v>0</v>
      </c>
      <c r="F112" s="42">
        <v>18</v>
      </c>
      <c r="G112" s="56">
        <f t="shared" si="8"/>
        <v>0</v>
      </c>
      <c r="H112" s="56">
        <f t="shared" si="9"/>
        <v>0</v>
      </c>
      <c r="I112" s="56">
        <f t="shared" si="10"/>
        <v>0</v>
      </c>
      <c r="J112" s="57">
        <f t="shared" si="11"/>
        <v>0</v>
      </c>
    </row>
    <row r="113" spans="1:10" x14ac:dyDescent="0.25">
      <c r="A113" s="59"/>
      <c r="B113" s="46"/>
      <c r="C113" s="44"/>
      <c r="D113" s="44"/>
      <c r="E113" s="45">
        <v>0</v>
      </c>
      <c r="F113" s="42">
        <v>18</v>
      </c>
      <c r="G113" s="56">
        <f t="shared" si="8"/>
        <v>0</v>
      </c>
      <c r="H113" s="56">
        <f t="shared" si="9"/>
        <v>0</v>
      </c>
      <c r="I113" s="56">
        <f t="shared" si="10"/>
        <v>0</v>
      </c>
      <c r="J113" s="57">
        <f t="shared" si="11"/>
        <v>0</v>
      </c>
    </row>
    <row r="114" spans="1:10" x14ac:dyDescent="0.25">
      <c r="A114" s="59"/>
      <c r="B114" s="46"/>
      <c r="C114" s="44"/>
      <c r="D114" s="44"/>
      <c r="E114" s="45">
        <v>0</v>
      </c>
      <c r="F114" s="42">
        <v>18</v>
      </c>
      <c r="G114" s="56">
        <f t="shared" si="8"/>
        <v>0</v>
      </c>
      <c r="H114" s="56">
        <f t="shared" si="9"/>
        <v>0</v>
      </c>
      <c r="I114" s="56">
        <f t="shared" si="10"/>
        <v>0</v>
      </c>
      <c r="J114" s="57">
        <f t="shared" si="11"/>
        <v>0</v>
      </c>
    </row>
    <row r="115" spans="1:10" x14ac:dyDescent="0.25">
      <c r="A115" s="59"/>
      <c r="B115" s="46"/>
      <c r="C115" s="44"/>
      <c r="D115" s="44"/>
      <c r="E115" s="45">
        <v>0</v>
      </c>
      <c r="F115" s="42">
        <v>18</v>
      </c>
      <c r="G115" s="56">
        <f t="shared" si="8"/>
        <v>0</v>
      </c>
      <c r="H115" s="56">
        <f t="shared" si="9"/>
        <v>0</v>
      </c>
      <c r="I115" s="56">
        <f t="shared" si="10"/>
        <v>0</v>
      </c>
      <c r="J115" s="57">
        <f t="shared" si="11"/>
        <v>0</v>
      </c>
    </row>
    <row r="116" spans="1:10" x14ac:dyDescent="0.25">
      <c r="A116" s="59"/>
      <c r="B116" s="46"/>
      <c r="C116" s="44"/>
      <c r="D116" s="44"/>
      <c r="E116" s="45">
        <v>0</v>
      </c>
      <c r="F116" s="42">
        <v>18</v>
      </c>
      <c r="G116" s="56">
        <f t="shared" si="8"/>
        <v>0</v>
      </c>
      <c r="H116" s="56">
        <f t="shared" si="9"/>
        <v>0</v>
      </c>
      <c r="I116" s="56">
        <f t="shared" si="10"/>
        <v>0</v>
      </c>
      <c r="J116" s="57">
        <f t="shared" si="11"/>
        <v>0</v>
      </c>
    </row>
    <row r="117" spans="1:10" x14ac:dyDescent="0.25">
      <c r="A117" s="59"/>
      <c r="B117" s="46"/>
      <c r="C117" s="44"/>
      <c r="D117" s="44"/>
      <c r="E117" s="45">
        <v>0</v>
      </c>
      <c r="F117" s="42">
        <v>18</v>
      </c>
      <c r="G117" s="56">
        <f t="shared" si="8"/>
        <v>0</v>
      </c>
      <c r="H117" s="56">
        <f t="shared" si="9"/>
        <v>0</v>
      </c>
      <c r="I117" s="56">
        <f t="shared" si="10"/>
        <v>0</v>
      </c>
      <c r="J117" s="57">
        <f t="shared" si="11"/>
        <v>0</v>
      </c>
    </row>
    <row r="118" spans="1:10" x14ac:dyDescent="0.25">
      <c r="A118" s="59"/>
      <c r="B118" s="46"/>
      <c r="C118" s="44"/>
      <c r="D118" s="44"/>
      <c r="E118" s="45">
        <v>0</v>
      </c>
      <c r="F118" s="42">
        <v>18</v>
      </c>
      <c r="G118" s="56">
        <f t="shared" si="8"/>
        <v>0</v>
      </c>
      <c r="H118" s="56">
        <f t="shared" si="9"/>
        <v>0</v>
      </c>
      <c r="I118" s="56">
        <f t="shared" si="10"/>
        <v>0</v>
      </c>
      <c r="J118" s="57">
        <f t="shared" si="11"/>
        <v>0</v>
      </c>
    </row>
    <row r="119" spans="1:10" x14ac:dyDescent="0.25">
      <c r="A119" s="59"/>
      <c r="B119" s="46"/>
      <c r="C119" s="44"/>
      <c r="D119" s="44"/>
      <c r="E119" s="45">
        <v>0</v>
      </c>
      <c r="F119" s="42">
        <v>18</v>
      </c>
      <c r="G119" s="56">
        <f t="shared" si="8"/>
        <v>0</v>
      </c>
      <c r="H119" s="56">
        <f t="shared" si="9"/>
        <v>0</v>
      </c>
      <c r="I119" s="56">
        <f t="shared" si="10"/>
        <v>0</v>
      </c>
      <c r="J119" s="57">
        <f t="shared" si="11"/>
        <v>0</v>
      </c>
    </row>
    <row r="120" spans="1:10" x14ac:dyDescent="0.25">
      <c r="A120" s="59"/>
      <c r="B120" s="46"/>
      <c r="C120" s="44"/>
      <c r="D120" s="44"/>
      <c r="E120" s="45">
        <v>0</v>
      </c>
      <c r="F120" s="42">
        <v>18</v>
      </c>
      <c r="G120" s="56">
        <f t="shared" si="8"/>
        <v>0</v>
      </c>
      <c r="H120" s="56">
        <f t="shared" si="9"/>
        <v>0</v>
      </c>
      <c r="I120" s="56">
        <f t="shared" si="10"/>
        <v>0</v>
      </c>
      <c r="J120" s="57">
        <f t="shared" si="11"/>
        <v>0</v>
      </c>
    </row>
    <row r="121" spans="1:10" x14ac:dyDescent="0.25">
      <c r="A121" s="59"/>
      <c r="B121" s="46"/>
      <c r="C121" s="44"/>
      <c r="D121" s="44"/>
      <c r="E121" s="45">
        <v>0</v>
      </c>
      <c r="F121" s="42">
        <v>18</v>
      </c>
      <c r="G121" s="56">
        <f t="shared" si="8"/>
        <v>0</v>
      </c>
      <c r="H121" s="56">
        <f t="shared" si="9"/>
        <v>0</v>
      </c>
      <c r="I121" s="56">
        <f t="shared" si="10"/>
        <v>0</v>
      </c>
      <c r="J121" s="57">
        <f t="shared" si="11"/>
        <v>0</v>
      </c>
    </row>
    <row r="122" spans="1:10" x14ac:dyDescent="0.25">
      <c r="A122" s="59"/>
      <c r="B122" s="46"/>
      <c r="C122" s="44"/>
      <c r="D122" s="44"/>
      <c r="E122" s="45">
        <v>0</v>
      </c>
      <c r="F122" s="42">
        <v>18</v>
      </c>
      <c r="G122" s="56">
        <f t="shared" si="8"/>
        <v>0</v>
      </c>
      <c r="H122" s="56">
        <f t="shared" si="9"/>
        <v>0</v>
      </c>
      <c r="I122" s="56">
        <f t="shared" si="10"/>
        <v>0</v>
      </c>
      <c r="J122" s="57">
        <f t="shared" si="11"/>
        <v>0</v>
      </c>
    </row>
    <row r="123" spans="1:10" x14ac:dyDescent="0.25">
      <c r="A123" s="59"/>
      <c r="B123" s="46"/>
      <c r="C123" s="44"/>
      <c r="D123" s="44"/>
      <c r="E123" s="45">
        <v>0</v>
      </c>
      <c r="F123" s="42">
        <v>18</v>
      </c>
      <c r="G123" s="56">
        <f t="shared" si="8"/>
        <v>0</v>
      </c>
      <c r="H123" s="56">
        <f t="shared" si="9"/>
        <v>0</v>
      </c>
      <c r="I123" s="56">
        <f t="shared" si="10"/>
        <v>0</v>
      </c>
      <c r="J123" s="57">
        <f t="shared" si="11"/>
        <v>0</v>
      </c>
    </row>
    <row r="124" spans="1:10" x14ac:dyDescent="0.25">
      <c r="A124" s="59"/>
      <c r="B124" s="46"/>
      <c r="C124" s="44"/>
      <c r="D124" s="44"/>
      <c r="E124" s="45">
        <v>0</v>
      </c>
      <c r="F124" s="42">
        <v>18</v>
      </c>
      <c r="G124" s="56">
        <f t="shared" si="8"/>
        <v>0</v>
      </c>
      <c r="H124" s="56">
        <f t="shared" si="9"/>
        <v>0</v>
      </c>
      <c r="I124" s="56">
        <f t="shared" si="10"/>
        <v>0</v>
      </c>
      <c r="J124" s="57">
        <f t="shared" si="11"/>
        <v>0</v>
      </c>
    </row>
    <row r="125" spans="1:10" x14ac:dyDescent="0.25">
      <c r="A125" s="59"/>
      <c r="B125" s="46"/>
      <c r="C125" s="44"/>
      <c r="D125" s="44"/>
      <c r="E125" s="45">
        <v>0</v>
      </c>
      <c r="F125" s="42">
        <v>18</v>
      </c>
      <c r="G125" s="56">
        <f t="shared" si="8"/>
        <v>0</v>
      </c>
      <c r="H125" s="56">
        <f t="shared" si="9"/>
        <v>0</v>
      </c>
      <c r="I125" s="56">
        <f t="shared" si="10"/>
        <v>0</v>
      </c>
      <c r="J125" s="57">
        <f t="shared" si="11"/>
        <v>0</v>
      </c>
    </row>
    <row r="126" spans="1:10" x14ac:dyDescent="0.25">
      <c r="A126" s="59"/>
      <c r="B126" s="46"/>
      <c r="C126" s="44"/>
      <c r="D126" s="44"/>
      <c r="E126" s="45">
        <v>0</v>
      </c>
      <c r="F126" s="42">
        <v>18</v>
      </c>
      <c r="G126" s="56">
        <f t="shared" si="8"/>
        <v>0</v>
      </c>
      <c r="H126" s="56">
        <f t="shared" si="9"/>
        <v>0</v>
      </c>
      <c r="I126" s="56">
        <f t="shared" si="10"/>
        <v>0</v>
      </c>
      <c r="J126" s="57">
        <f t="shared" si="11"/>
        <v>0</v>
      </c>
    </row>
    <row r="127" spans="1:10" x14ac:dyDescent="0.25">
      <c r="A127" s="59"/>
      <c r="B127" s="46"/>
      <c r="C127" s="44"/>
      <c r="D127" s="44"/>
      <c r="E127" s="45">
        <v>0</v>
      </c>
      <c r="F127" s="42">
        <v>18</v>
      </c>
      <c r="G127" s="56">
        <f t="shared" si="8"/>
        <v>0</v>
      </c>
      <c r="H127" s="56">
        <f t="shared" si="9"/>
        <v>0</v>
      </c>
      <c r="I127" s="56">
        <f t="shared" si="10"/>
        <v>0</v>
      </c>
      <c r="J127" s="57">
        <f t="shared" si="11"/>
        <v>0</v>
      </c>
    </row>
    <row r="128" spans="1:10" x14ac:dyDescent="0.25">
      <c r="A128" s="59"/>
      <c r="B128" s="46"/>
      <c r="C128" s="44"/>
      <c r="D128" s="44"/>
      <c r="E128" s="45">
        <v>0</v>
      </c>
      <c r="F128" s="42">
        <v>18</v>
      </c>
      <c r="G128" s="56">
        <f t="shared" si="8"/>
        <v>0</v>
      </c>
      <c r="H128" s="56">
        <f t="shared" si="9"/>
        <v>0</v>
      </c>
      <c r="I128" s="56">
        <f t="shared" si="10"/>
        <v>0</v>
      </c>
      <c r="J128" s="57">
        <f t="shared" si="11"/>
        <v>0</v>
      </c>
    </row>
    <row r="129" spans="1:10" x14ac:dyDescent="0.25">
      <c r="A129" s="59"/>
      <c r="B129" s="46"/>
      <c r="C129" s="44"/>
      <c r="D129" s="44"/>
      <c r="E129" s="45">
        <v>0</v>
      </c>
      <c r="F129" s="42">
        <v>18</v>
      </c>
      <c r="G129" s="56">
        <f t="shared" si="8"/>
        <v>0</v>
      </c>
      <c r="H129" s="56">
        <f t="shared" si="9"/>
        <v>0</v>
      </c>
      <c r="I129" s="56">
        <f t="shared" si="10"/>
        <v>0</v>
      </c>
      <c r="J129" s="57">
        <f t="shared" si="11"/>
        <v>0</v>
      </c>
    </row>
    <row r="130" spans="1:10" x14ac:dyDescent="0.25">
      <c r="A130" s="59"/>
      <c r="B130" s="46"/>
      <c r="C130" s="44"/>
      <c r="D130" s="44"/>
      <c r="E130" s="45">
        <v>0</v>
      </c>
      <c r="F130" s="42">
        <v>18</v>
      </c>
      <c r="G130" s="56">
        <f t="shared" si="8"/>
        <v>0</v>
      </c>
      <c r="H130" s="56">
        <f t="shared" si="9"/>
        <v>0</v>
      </c>
      <c r="I130" s="56">
        <f t="shared" si="10"/>
        <v>0</v>
      </c>
      <c r="J130" s="57">
        <f t="shared" si="11"/>
        <v>0</v>
      </c>
    </row>
    <row r="131" spans="1:10" x14ac:dyDescent="0.25">
      <c r="A131" s="59"/>
      <c r="B131" s="46"/>
      <c r="C131" s="44"/>
      <c r="D131" s="44"/>
      <c r="E131" s="45">
        <v>0</v>
      </c>
      <c r="F131" s="42">
        <v>18</v>
      </c>
      <c r="G131" s="56">
        <f t="shared" si="8"/>
        <v>0</v>
      </c>
      <c r="H131" s="56">
        <f t="shared" si="9"/>
        <v>0</v>
      </c>
      <c r="I131" s="56">
        <f t="shared" si="10"/>
        <v>0</v>
      </c>
      <c r="J131" s="57">
        <f t="shared" si="11"/>
        <v>0</v>
      </c>
    </row>
    <row r="132" spans="1:10" x14ac:dyDescent="0.25">
      <c r="A132" s="59"/>
      <c r="B132" s="46"/>
      <c r="C132" s="44"/>
      <c r="D132" s="44"/>
      <c r="E132" s="45">
        <v>0</v>
      </c>
      <c r="F132" s="42">
        <v>18</v>
      </c>
      <c r="G132" s="56">
        <f t="shared" ref="G132:G195" si="12">ROUND((E132*F132%)/2,)</f>
        <v>0</v>
      </c>
      <c r="H132" s="56">
        <f t="shared" ref="H132:H195" si="13">G132</f>
        <v>0</v>
      </c>
      <c r="I132" s="56">
        <f t="shared" ref="I132:I195" si="14">G132+H132</f>
        <v>0</v>
      </c>
      <c r="J132" s="57">
        <f t="shared" ref="J132:J195" si="15">E132+I132</f>
        <v>0</v>
      </c>
    </row>
    <row r="133" spans="1:10" x14ac:dyDescent="0.25">
      <c r="A133" s="59"/>
      <c r="B133" s="46"/>
      <c r="C133" s="44"/>
      <c r="D133" s="44"/>
      <c r="E133" s="45">
        <v>0</v>
      </c>
      <c r="F133" s="42">
        <v>18</v>
      </c>
      <c r="G133" s="56">
        <f t="shared" si="12"/>
        <v>0</v>
      </c>
      <c r="H133" s="56">
        <f t="shared" si="13"/>
        <v>0</v>
      </c>
      <c r="I133" s="56">
        <f t="shared" si="14"/>
        <v>0</v>
      </c>
      <c r="J133" s="57">
        <f t="shared" si="15"/>
        <v>0</v>
      </c>
    </row>
    <row r="134" spans="1:10" x14ac:dyDescent="0.25">
      <c r="A134" s="59"/>
      <c r="B134" s="46"/>
      <c r="C134" s="44"/>
      <c r="D134" s="44"/>
      <c r="E134" s="45">
        <v>0</v>
      </c>
      <c r="F134" s="42">
        <v>18</v>
      </c>
      <c r="G134" s="56">
        <f t="shared" si="12"/>
        <v>0</v>
      </c>
      <c r="H134" s="56">
        <f t="shared" si="13"/>
        <v>0</v>
      </c>
      <c r="I134" s="56">
        <f t="shared" si="14"/>
        <v>0</v>
      </c>
      <c r="J134" s="57">
        <f t="shared" si="15"/>
        <v>0</v>
      </c>
    </row>
    <row r="135" spans="1:10" x14ac:dyDescent="0.25">
      <c r="A135" s="59"/>
      <c r="B135" s="46"/>
      <c r="C135" s="44"/>
      <c r="D135" s="44"/>
      <c r="E135" s="45">
        <v>0</v>
      </c>
      <c r="F135" s="42">
        <v>18</v>
      </c>
      <c r="G135" s="56">
        <f t="shared" si="12"/>
        <v>0</v>
      </c>
      <c r="H135" s="56">
        <f t="shared" si="13"/>
        <v>0</v>
      </c>
      <c r="I135" s="56">
        <f t="shared" si="14"/>
        <v>0</v>
      </c>
      <c r="J135" s="57">
        <f t="shared" si="15"/>
        <v>0</v>
      </c>
    </row>
    <row r="136" spans="1:10" x14ac:dyDescent="0.25">
      <c r="A136" s="59"/>
      <c r="B136" s="46"/>
      <c r="C136" s="44"/>
      <c r="D136" s="44"/>
      <c r="E136" s="45">
        <v>0</v>
      </c>
      <c r="F136" s="42">
        <v>18</v>
      </c>
      <c r="G136" s="56">
        <f t="shared" si="12"/>
        <v>0</v>
      </c>
      <c r="H136" s="56">
        <f t="shared" si="13"/>
        <v>0</v>
      </c>
      <c r="I136" s="56">
        <f t="shared" si="14"/>
        <v>0</v>
      </c>
      <c r="J136" s="57">
        <f t="shared" si="15"/>
        <v>0</v>
      </c>
    </row>
    <row r="137" spans="1:10" x14ac:dyDescent="0.25">
      <c r="A137" s="59"/>
      <c r="B137" s="46"/>
      <c r="C137" s="44"/>
      <c r="D137" s="44"/>
      <c r="E137" s="45">
        <v>0</v>
      </c>
      <c r="F137" s="42">
        <v>18</v>
      </c>
      <c r="G137" s="56">
        <f t="shared" si="12"/>
        <v>0</v>
      </c>
      <c r="H137" s="56">
        <f t="shared" si="13"/>
        <v>0</v>
      </c>
      <c r="I137" s="56">
        <f t="shared" si="14"/>
        <v>0</v>
      </c>
      <c r="J137" s="57">
        <f t="shared" si="15"/>
        <v>0</v>
      </c>
    </row>
    <row r="138" spans="1:10" x14ac:dyDescent="0.25">
      <c r="A138" s="59"/>
      <c r="B138" s="46"/>
      <c r="C138" s="44"/>
      <c r="D138" s="44"/>
      <c r="E138" s="45">
        <v>0</v>
      </c>
      <c r="F138" s="42">
        <v>18</v>
      </c>
      <c r="G138" s="56">
        <f t="shared" si="12"/>
        <v>0</v>
      </c>
      <c r="H138" s="56">
        <f t="shared" si="13"/>
        <v>0</v>
      </c>
      <c r="I138" s="56">
        <f t="shared" si="14"/>
        <v>0</v>
      </c>
      <c r="J138" s="57">
        <f t="shared" si="15"/>
        <v>0</v>
      </c>
    </row>
    <row r="139" spans="1:10" x14ac:dyDescent="0.25">
      <c r="A139" s="59"/>
      <c r="B139" s="46"/>
      <c r="C139" s="44"/>
      <c r="D139" s="44"/>
      <c r="E139" s="45">
        <v>0</v>
      </c>
      <c r="F139" s="42">
        <v>18</v>
      </c>
      <c r="G139" s="56">
        <f t="shared" si="12"/>
        <v>0</v>
      </c>
      <c r="H139" s="56">
        <f t="shared" si="13"/>
        <v>0</v>
      </c>
      <c r="I139" s="56">
        <f t="shared" si="14"/>
        <v>0</v>
      </c>
      <c r="J139" s="57">
        <f t="shared" si="15"/>
        <v>0</v>
      </c>
    </row>
    <row r="140" spans="1:10" x14ac:dyDescent="0.25">
      <c r="A140" s="59"/>
      <c r="B140" s="46"/>
      <c r="C140" s="44"/>
      <c r="D140" s="44"/>
      <c r="E140" s="45">
        <v>0</v>
      </c>
      <c r="F140" s="42">
        <v>18</v>
      </c>
      <c r="G140" s="56">
        <f t="shared" si="12"/>
        <v>0</v>
      </c>
      <c r="H140" s="56">
        <f t="shared" si="13"/>
        <v>0</v>
      </c>
      <c r="I140" s="56">
        <f t="shared" si="14"/>
        <v>0</v>
      </c>
      <c r="J140" s="57">
        <f t="shared" si="15"/>
        <v>0</v>
      </c>
    </row>
    <row r="141" spans="1:10" x14ac:dyDescent="0.25">
      <c r="A141" s="59"/>
      <c r="B141" s="46"/>
      <c r="C141" s="44"/>
      <c r="D141" s="44"/>
      <c r="E141" s="45">
        <v>0</v>
      </c>
      <c r="F141" s="42">
        <v>18</v>
      </c>
      <c r="G141" s="56">
        <f t="shared" si="12"/>
        <v>0</v>
      </c>
      <c r="H141" s="56">
        <f t="shared" si="13"/>
        <v>0</v>
      </c>
      <c r="I141" s="56">
        <f t="shared" si="14"/>
        <v>0</v>
      </c>
      <c r="J141" s="57">
        <f t="shared" si="15"/>
        <v>0</v>
      </c>
    </row>
    <row r="142" spans="1:10" x14ac:dyDescent="0.25">
      <c r="A142" s="59"/>
      <c r="B142" s="46"/>
      <c r="C142" s="44"/>
      <c r="D142" s="44"/>
      <c r="E142" s="45">
        <v>0</v>
      </c>
      <c r="F142" s="42">
        <v>18</v>
      </c>
      <c r="G142" s="56">
        <f t="shared" si="12"/>
        <v>0</v>
      </c>
      <c r="H142" s="56">
        <f t="shared" si="13"/>
        <v>0</v>
      </c>
      <c r="I142" s="56">
        <f t="shared" si="14"/>
        <v>0</v>
      </c>
      <c r="J142" s="57">
        <f t="shared" si="15"/>
        <v>0</v>
      </c>
    </row>
    <row r="143" spans="1:10" x14ac:dyDescent="0.25">
      <c r="A143" s="59"/>
      <c r="B143" s="46"/>
      <c r="C143" s="44"/>
      <c r="D143" s="44"/>
      <c r="E143" s="45">
        <v>0</v>
      </c>
      <c r="F143" s="42">
        <v>18</v>
      </c>
      <c r="G143" s="56">
        <f t="shared" si="12"/>
        <v>0</v>
      </c>
      <c r="H143" s="56">
        <f t="shared" si="13"/>
        <v>0</v>
      </c>
      <c r="I143" s="56">
        <f t="shared" si="14"/>
        <v>0</v>
      </c>
      <c r="J143" s="57">
        <f t="shared" si="15"/>
        <v>0</v>
      </c>
    </row>
    <row r="144" spans="1:10" x14ac:dyDescent="0.25">
      <c r="A144" s="59"/>
      <c r="B144" s="46"/>
      <c r="C144" s="44"/>
      <c r="D144" s="44"/>
      <c r="E144" s="45">
        <v>0</v>
      </c>
      <c r="F144" s="42">
        <v>18</v>
      </c>
      <c r="G144" s="56">
        <f t="shared" si="12"/>
        <v>0</v>
      </c>
      <c r="H144" s="56">
        <f t="shared" si="13"/>
        <v>0</v>
      </c>
      <c r="I144" s="56">
        <f t="shared" si="14"/>
        <v>0</v>
      </c>
      <c r="J144" s="57">
        <f t="shared" si="15"/>
        <v>0</v>
      </c>
    </row>
    <row r="145" spans="1:10" x14ac:dyDescent="0.25">
      <c r="A145" s="59"/>
      <c r="B145" s="46"/>
      <c r="C145" s="44"/>
      <c r="D145" s="44"/>
      <c r="E145" s="45">
        <v>0</v>
      </c>
      <c r="F145" s="42">
        <v>18</v>
      </c>
      <c r="G145" s="56">
        <f t="shared" si="12"/>
        <v>0</v>
      </c>
      <c r="H145" s="56">
        <f t="shared" si="13"/>
        <v>0</v>
      </c>
      <c r="I145" s="56">
        <f t="shared" si="14"/>
        <v>0</v>
      </c>
      <c r="J145" s="57">
        <f t="shared" si="15"/>
        <v>0</v>
      </c>
    </row>
    <row r="146" spans="1:10" x14ac:dyDescent="0.25">
      <c r="A146" s="59"/>
      <c r="B146" s="46"/>
      <c r="C146" s="44"/>
      <c r="D146" s="44"/>
      <c r="E146" s="45">
        <v>0</v>
      </c>
      <c r="F146" s="42">
        <v>18</v>
      </c>
      <c r="G146" s="56">
        <f t="shared" si="12"/>
        <v>0</v>
      </c>
      <c r="H146" s="56">
        <f t="shared" si="13"/>
        <v>0</v>
      </c>
      <c r="I146" s="56">
        <f t="shared" si="14"/>
        <v>0</v>
      </c>
      <c r="J146" s="57">
        <f t="shared" si="15"/>
        <v>0</v>
      </c>
    </row>
    <row r="147" spans="1:10" x14ac:dyDescent="0.25">
      <c r="A147" s="59"/>
      <c r="B147" s="46"/>
      <c r="C147" s="44"/>
      <c r="D147" s="44"/>
      <c r="E147" s="45">
        <v>0</v>
      </c>
      <c r="F147" s="42">
        <v>18</v>
      </c>
      <c r="G147" s="56">
        <f t="shared" si="12"/>
        <v>0</v>
      </c>
      <c r="H147" s="56">
        <f t="shared" si="13"/>
        <v>0</v>
      </c>
      <c r="I147" s="56">
        <f t="shared" si="14"/>
        <v>0</v>
      </c>
      <c r="J147" s="57">
        <f t="shared" si="15"/>
        <v>0</v>
      </c>
    </row>
    <row r="148" spans="1:10" x14ac:dyDescent="0.25">
      <c r="A148" s="59"/>
      <c r="B148" s="46"/>
      <c r="C148" s="44"/>
      <c r="D148" s="44"/>
      <c r="E148" s="45">
        <v>0</v>
      </c>
      <c r="F148" s="42">
        <v>18</v>
      </c>
      <c r="G148" s="56">
        <f t="shared" si="12"/>
        <v>0</v>
      </c>
      <c r="H148" s="56">
        <f t="shared" si="13"/>
        <v>0</v>
      </c>
      <c r="I148" s="56">
        <f t="shared" si="14"/>
        <v>0</v>
      </c>
      <c r="J148" s="57">
        <f t="shared" si="15"/>
        <v>0</v>
      </c>
    </row>
    <row r="149" spans="1:10" x14ac:dyDescent="0.25">
      <c r="A149" s="59"/>
      <c r="B149" s="46"/>
      <c r="C149" s="44"/>
      <c r="D149" s="44"/>
      <c r="E149" s="45">
        <v>0</v>
      </c>
      <c r="F149" s="42">
        <v>18</v>
      </c>
      <c r="G149" s="56">
        <f t="shared" si="12"/>
        <v>0</v>
      </c>
      <c r="H149" s="56">
        <f t="shared" si="13"/>
        <v>0</v>
      </c>
      <c r="I149" s="56">
        <f t="shared" si="14"/>
        <v>0</v>
      </c>
      <c r="J149" s="57">
        <f t="shared" si="15"/>
        <v>0</v>
      </c>
    </row>
    <row r="150" spans="1:10" x14ac:dyDescent="0.25">
      <c r="A150" s="59"/>
      <c r="B150" s="46"/>
      <c r="C150" s="44"/>
      <c r="D150" s="44"/>
      <c r="E150" s="45">
        <v>0</v>
      </c>
      <c r="F150" s="42">
        <v>18</v>
      </c>
      <c r="G150" s="56">
        <f t="shared" si="12"/>
        <v>0</v>
      </c>
      <c r="H150" s="56">
        <f t="shared" si="13"/>
        <v>0</v>
      </c>
      <c r="I150" s="56">
        <f t="shared" si="14"/>
        <v>0</v>
      </c>
      <c r="J150" s="57">
        <f t="shared" si="15"/>
        <v>0</v>
      </c>
    </row>
    <row r="151" spans="1:10" x14ac:dyDescent="0.25">
      <c r="A151" s="59"/>
      <c r="B151" s="46"/>
      <c r="C151" s="44"/>
      <c r="D151" s="44"/>
      <c r="E151" s="45">
        <v>0</v>
      </c>
      <c r="F151" s="42">
        <v>18</v>
      </c>
      <c r="G151" s="56">
        <f t="shared" si="12"/>
        <v>0</v>
      </c>
      <c r="H151" s="56">
        <f t="shared" si="13"/>
        <v>0</v>
      </c>
      <c r="I151" s="56">
        <f t="shared" si="14"/>
        <v>0</v>
      </c>
      <c r="J151" s="57">
        <f t="shared" si="15"/>
        <v>0</v>
      </c>
    </row>
    <row r="152" spans="1:10" x14ac:dyDescent="0.25">
      <c r="A152" s="59"/>
      <c r="B152" s="46"/>
      <c r="C152" s="44"/>
      <c r="D152" s="44"/>
      <c r="E152" s="45">
        <v>0</v>
      </c>
      <c r="F152" s="42">
        <v>18</v>
      </c>
      <c r="G152" s="56">
        <f t="shared" si="12"/>
        <v>0</v>
      </c>
      <c r="H152" s="56">
        <f t="shared" si="13"/>
        <v>0</v>
      </c>
      <c r="I152" s="56">
        <f t="shared" si="14"/>
        <v>0</v>
      </c>
      <c r="J152" s="57">
        <f t="shared" si="15"/>
        <v>0</v>
      </c>
    </row>
    <row r="153" spans="1:10" x14ac:dyDescent="0.25">
      <c r="A153" s="59"/>
      <c r="B153" s="46"/>
      <c r="C153" s="44"/>
      <c r="D153" s="44"/>
      <c r="E153" s="45">
        <v>0</v>
      </c>
      <c r="F153" s="42">
        <v>18</v>
      </c>
      <c r="G153" s="56">
        <f t="shared" si="12"/>
        <v>0</v>
      </c>
      <c r="H153" s="56">
        <f t="shared" si="13"/>
        <v>0</v>
      </c>
      <c r="I153" s="56">
        <f t="shared" si="14"/>
        <v>0</v>
      </c>
      <c r="J153" s="57">
        <f t="shared" si="15"/>
        <v>0</v>
      </c>
    </row>
    <row r="154" spans="1:10" x14ac:dyDescent="0.25">
      <c r="A154" s="59"/>
      <c r="B154" s="46"/>
      <c r="C154" s="44"/>
      <c r="D154" s="44"/>
      <c r="E154" s="45">
        <v>0</v>
      </c>
      <c r="F154" s="42">
        <v>18</v>
      </c>
      <c r="G154" s="56">
        <f t="shared" si="12"/>
        <v>0</v>
      </c>
      <c r="H154" s="56">
        <f t="shared" si="13"/>
        <v>0</v>
      </c>
      <c r="I154" s="56">
        <f t="shared" si="14"/>
        <v>0</v>
      </c>
      <c r="J154" s="57">
        <f t="shared" si="15"/>
        <v>0</v>
      </c>
    </row>
    <row r="155" spans="1:10" x14ac:dyDescent="0.25">
      <c r="A155" s="59"/>
      <c r="B155" s="46"/>
      <c r="C155" s="44"/>
      <c r="D155" s="44"/>
      <c r="E155" s="45">
        <v>0</v>
      </c>
      <c r="F155" s="42">
        <v>18</v>
      </c>
      <c r="G155" s="56">
        <f t="shared" si="12"/>
        <v>0</v>
      </c>
      <c r="H155" s="56">
        <f t="shared" si="13"/>
        <v>0</v>
      </c>
      <c r="I155" s="56">
        <f t="shared" si="14"/>
        <v>0</v>
      </c>
      <c r="J155" s="57">
        <f t="shared" si="15"/>
        <v>0</v>
      </c>
    </row>
    <row r="156" spans="1:10" x14ac:dyDescent="0.25">
      <c r="A156" s="59"/>
      <c r="B156" s="46"/>
      <c r="C156" s="44"/>
      <c r="D156" s="44"/>
      <c r="E156" s="45">
        <v>0</v>
      </c>
      <c r="F156" s="42">
        <v>18</v>
      </c>
      <c r="G156" s="56">
        <f t="shared" si="12"/>
        <v>0</v>
      </c>
      <c r="H156" s="56">
        <f t="shared" si="13"/>
        <v>0</v>
      </c>
      <c r="I156" s="56">
        <f t="shared" si="14"/>
        <v>0</v>
      </c>
      <c r="J156" s="57">
        <f t="shared" si="15"/>
        <v>0</v>
      </c>
    </row>
    <row r="157" spans="1:10" x14ac:dyDescent="0.25">
      <c r="A157" s="59"/>
      <c r="B157" s="46"/>
      <c r="C157" s="44"/>
      <c r="D157" s="44"/>
      <c r="E157" s="45">
        <v>0</v>
      </c>
      <c r="F157" s="42">
        <v>18</v>
      </c>
      <c r="G157" s="56">
        <f t="shared" si="12"/>
        <v>0</v>
      </c>
      <c r="H157" s="56">
        <f t="shared" si="13"/>
        <v>0</v>
      </c>
      <c r="I157" s="56">
        <f t="shared" si="14"/>
        <v>0</v>
      </c>
      <c r="J157" s="57">
        <f t="shared" si="15"/>
        <v>0</v>
      </c>
    </row>
    <row r="158" spans="1:10" x14ac:dyDescent="0.25">
      <c r="A158" s="59"/>
      <c r="B158" s="46"/>
      <c r="C158" s="44"/>
      <c r="D158" s="44"/>
      <c r="E158" s="45">
        <v>0</v>
      </c>
      <c r="F158" s="42">
        <v>18</v>
      </c>
      <c r="G158" s="56">
        <f t="shared" si="12"/>
        <v>0</v>
      </c>
      <c r="H158" s="56">
        <f t="shared" si="13"/>
        <v>0</v>
      </c>
      <c r="I158" s="56">
        <f t="shared" si="14"/>
        <v>0</v>
      </c>
      <c r="J158" s="57">
        <f t="shared" si="15"/>
        <v>0</v>
      </c>
    </row>
    <row r="159" spans="1:10" x14ac:dyDescent="0.25">
      <c r="A159" s="59"/>
      <c r="B159" s="46"/>
      <c r="C159" s="44"/>
      <c r="D159" s="44"/>
      <c r="E159" s="45">
        <v>0</v>
      </c>
      <c r="F159" s="42">
        <v>18</v>
      </c>
      <c r="G159" s="56">
        <f t="shared" si="12"/>
        <v>0</v>
      </c>
      <c r="H159" s="56">
        <f t="shared" si="13"/>
        <v>0</v>
      </c>
      <c r="I159" s="56">
        <f t="shared" si="14"/>
        <v>0</v>
      </c>
      <c r="J159" s="57">
        <f t="shared" si="15"/>
        <v>0</v>
      </c>
    </row>
    <row r="160" spans="1:10" x14ac:dyDescent="0.25">
      <c r="A160" s="59"/>
      <c r="B160" s="46"/>
      <c r="C160" s="44"/>
      <c r="D160" s="44"/>
      <c r="E160" s="45">
        <v>0</v>
      </c>
      <c r="F160" s="42">
        <v>18</v>
      </c>
      <c r="G160" s="56">
        <f t="shared" si="12"/>
        <v>0</v>
      </c>
      <c r="H160" s="56">
        <f t="shared" si="13"/>
        <v>0</v>
      </c>
      <c r="I160" s="56">
        <f t="shared" si="14"/>
        <v>0</v>
      </c>
      <c r="J160" s="57">
        <f t="shared" si="15"/>
        <v>0</v>
      </c>
    </row>
    <row r="161" spans="1:10" x14ac:dyDescent="0.25">
      <c r="A161" s="59"/>
      <c r="B161" s="46"/>
      <c r="C161" s="44"/>
      <c r="D161" s="44"/>
      <c r="E161" s="45">
        <v>0</v>
      </c>
      <c r="F161" s="42">
        <v>18</v>
      </c>
      <c r="G161" s="56">
        <f t="shared" si="12"/>
        <v>0</v>
      </c>
      <c r="H161" s="56">
        <f t="shared" si="13"/>
        <v>0</v>
      </c>
      <c r="I161" s="56">
        <f t="shared" si="14"/>
        <v>0</v>
      </c>
      <c r="J161" s="57">
        <f t="shared" si="15"/>
        <v>0</v>
      </c>
    </row>
    <row r="162" spans="1:10" x14ac:dyDescent="0.25">
      <c r="A162" s="59"/>
      <c r="B162" s="46"/>
      <c r="C162" s="44"/>
      <c r="D162" s="44"/>
      <c r="E162" s="45">
        <v>0</v>
      </c>
      <c r="F162" s="42">
        <v>18</v>
      </c>
      <c r="G162" s="56">
        <f t="shared" si="12"/>
        <v>0</v>
      </c>
      <c r="H162" s="56">
        <f t="shared" si="13"/>
        <v>0</v>
      </c>
      <c r="I162" s="56">
        <f t="shared" si="14"/>
        <v>0</v>
      </c>
      <c r="J162" s="57">
        <f t="shared" si="15"/>
        <v>0</v>
      </c>
    </row>
    <row r="163" spans="1:10" x14ac:dyDescent="0.25">
      <c r="A163" s="59"/>
      <c r="B163" s="46"/>
      <c r="C163" s="44"/>
      <c r="D163" s="44"/>
      <c r="E163" s="45">
        <v>0</v>
      </c>
      <c r="F163" s="42">
        <v>18</v>
      </c>
      <c r="G163" s="56">
        <f t="shared" si="12"/>
        <v>0</v>
      </c>
      <c r="H163" s="56">
        <f t="shared" si="13"/>
        <v>0</v>
      </c>
      <c r="I163" s="56">
        <f t="shared" si="14"/>
        <v>0</v>
      </c>
      <c r="J163" s="57">
        <f t="shared" si="15"/>
        <v>0</v>
      </c>
    </row>
    <row r="164" spans="1:10" x14ac:dyDescent="0.25">
      <c r="A164" s="59"/>
      <c r="B164" s="46"/>
      <c r="C164" s="44"/>
      <c r="D164" s="44"/>
      <c r="E164" s="45">
        <v>0</v>
      </c>
      <c r="F164" s="42">
        <v>18</v>
      </c>
      <c r="G164" s="56">
        <f t="shared" si="12"/>
        <v>0</v>
      </c>
      <c r="H164" s="56">
        <f t="shared" si="13"/>
        <v>0</v>
      </c>
      <c r="I164" s="56">
        <f t="shared" si="14"/>
        <v>0</v>
      </c>
      <c r="J164" s="57">
        <f t="shared" si="15"/>
        <v>0</v>
      </c>
    </row>
    <row r="165" spans="1:10" x14ac:dyDescent="0.25">
      <c r="A165" s="59"/>
      <c r="B165" s="46"/>
      <c r="C165" s="44"/>
      <c r="D165" s="44"/>
      <c r="E165" s="45">
        <v>0</v>
      </c>
      <c r="F165" s="42">
        <v>18</v>
      </c>
      <c r="G165" s="56">
        <f t="shared" si="12"/>
        <v>0</v>
      </c>
      <c r="H165" s="56">
        <f t="shared" si="13"/>
        <v>0</v>
      </c>
      <c r="I165" s="56">
        <f t="shared" si="14"/>
        <v>0</v>
      </c>
      <c r="J165" s="57">
        <f t="shared" si="15"/>
        <v>0</v>
      </c>
    </row>
    <row r="166" spans="1:10" x14ac:dyDescent="0.25">
      <c r="A166" s="59"/>
      <c r="B166" s="46"/>
      <c r="C166" s="44"/>
      <c r="D166" s="44"/>
      <c r="E166" s="45">
        <v>0</v>
      </c>
      <c r="F166" s="42">
        <v>18</v>
      </c>
      <c r="G166" s="56">
        <f t="shared" si="12"/>
        <v>0</v>
      </c>
      <c r="H166" s="56">
        <f t="shared" si="13"/>
        <v>0</v>
      </c>
      <c r="I166" s="56">
        <f t="shared" si="14"/>
        <v>0</v>
      </c>
      <c r="J166" s="57">
        <f t="shared" si="15"/>
        <v>0</v>
      </c>
    </row>
    <row r="167" spans="1:10" x14ac:dyDescent="0.25">
      <c r="A167" s="59"/>
      <c r="B167" s="46"/>
      <c r="C167" s="44"/>
      <c r="D167" s="44"/>
      <c r="E167" s="45">
        <v>0</v>
      </c>
      <c r="F167" s="42">
        <v>18</v>
      </c>
      <c r="G167" s="56">
        <f t="shared" si="12"/>
        <v>0</v>
      </c>
      <c r="H167" s="56">
        <f t="shared" si="13"/>
        <v>0</v>
      </c>
      <c r="I167" s="56">
        <f t="shared" si="14"/>
        <v>0</v>
      </c>
      <c r="J167" s="57">
        <f t="shared" si="15"/>
        <v>0</v>
      </c>
    </row>
    <row r="168" spans="1:10" x14ac:dyDescent="0.25">
      <c r="A168" s="59"/>
      <c r="B168" s="46"/>
      <c r="C168" s="44"/>
      <c r="D168" s="44"/>
      <c r="E168" s="45">
        <v>0</v>
      </c>
      <c r="F168" s="42">
        <v>18</v>
      </c>
      <c r="G168" s="56">
        <f t="shared" si="12"/>
        <v>0</v>
      </c>
      <c r="H168" s="56">
        <f t="shared" si="13"/>
        <v>0</v>
      </c>
      <c r="I168" s="56">
        <f t="shared" si="14"/>
        <v>0</v>
      </c>
      <c r="J168" s="57">
        <f t="shared" si="15"/>
        <v>0</v>
      </c>
    </row>
    <row r="169" spans="1:10" x14ac:dyDescent="0.25">
      <c r="A169" s="59"/>
      <c r="B169" s="46"/>
      <c r="C169" s="44"/>
      <c r="D169" s="44"/>
      <c r="E169" s="45">
        <v>0</v>
      </c>
      <c r="F169" s="42">
        <v>18</v>
      </c>
      <c r="G169" s="56">
        <f t="shared" si="12"/>
        <v>0</v>
      </c>
      <c r="H169" s="56">
        <f t="shared" si="13"/>
        <v>0</v>
      </c>
      <c r="I169" s="56">
        <f t="shared" si="14"/>
        <v>0</v>
      </c>
      <c r="J169" s="57">
        <f t="shared" si="15"/>
        <v>0</v>
      </c>
    </row>
    <row r="170" spans="1:10" x14ac:dyDescent="0.25">
      <c r="A170" s="59"/>
      <c r="B170" s="46"/>
      <c r="C170" s="44"/>
      <c r="D170" s="44"/>
      <c r="E170" s="45">
        <v>0</v>
      </c>
      <c r="F170" s="42">
        <v>18</v>
      </c>
      <c r="G170" s="56">
        <f t="shared" si="12"/>
        <v>0</v>
      </c>
      <c r="H170" s="56">
        <f t="shared" si="13"/>
        <v>0</v>
      </c>
      <c r="I170" s="56">
        <f t="shared" si="14"/>
        <v>0</v>
      </c>
      <c r="J170" s="57">
        <f t="shared" si="15"/>
        <v>0</v>
      </c>
    </row>
    <row r="171" spans="1:10" x14ac:dyDescent="0.25">
      <c r="A171" s="59"/>
      <c r="B171" s="46"/>
      <c r="C171" s="44"/>
      <c r="D171" s="44"/>
      <c r="E171" s="45">
        <v>0</v>
      </c>
      <c r="F171" s="42">
        <v>18</v>
      </c>
      <c r="G171" s="56">
        <f t="shared" si="12"/>
        <v>0</v>
      </c>
      <c r="H171" s="56">
        <f t="shared" si="13"/>
        <v>0</v>
      </c>
      <c r="I171" s="56">
        <f t="shared" si="14"/>
        <v>0</v>
      </c>
      <c r="J171" s="57">
        <f t="shared" si="15"/>
        <v>0</v>
      </c>
    </row>
    <row r="172" spans="1:10" x14ac:dyDescent="0.25">
      <c r="A172" s="59"/>
      <c r="B172" s="46"/>
      <c r="C172" s="44"/>
      <c r="D172" s="44"/>
      <c r="E172" s="45">
        <v>0</v>
      </c>
      <c r="F172" s="42">
        <v>18</v>
      </c>
      <c r="G172" s="56">
        <f t="shared" si="12"/>
        <v>0</v>
      </c>
      <c r="H172" s="56">
        <f t="shared" si="13"/>
        <v>0</v>
      </c>
      <c r="I172" s="56">
        <f t="shared" si="14"/>
        <v>0</v>
      </c>
      <c r="J172" s="57">
        <f t="shared" si="15"/>
        <v>0</v>
      </c>
    </row>
    <row r="173" spans="1:10" x14ac:dyDescent="0.25">
      <c r="A173" s="59"/>
      <c r="B173" s="46"/>
      <c r="C173" s="44"/>
      <c r="D173" s="44"/>
      <c r="E173" s="45">
        <v>0</v>
      </c>
      <c r="F173" s="42">
        <v>18</v>
      </c>
      <c r="G173" s="56">
        <f t="shared" si="12"/>
        <v>0</v>
      </c>
      <c r="H173" s="56">
        <f t="shared" si="13"/>
        <v>0</v>
      </c>
      <c r="I173" s="56">
        <f t="shared" si="14"/>
        <v>0</v>
      </c>
      <c r="J173" s="57">
        <f t="shared" si="15"/>
        <v>0</v>
      </c>
    </row>
    <row r="174" spans="1:10" x14ac:dyDescent="0.25">
      <c r="A174" s="59"/>
      <c r="B174" s="46"/>
      <c r="C174" s="44"/>
      <c r="D174" s="44"/>
      <c r="E174" s="45">
        <v>0</v>
      </c>
      <c r="F174" s="42">
        <v>18</v>
      </c>
      <c r="G174" s="56">
        <f t="shared" si="12"/>
        <v>0</v>
      </c>
      <c r="H174" s="56">
        <f t="shared" si="13"/>
        <v>0</v>
      </c>
      <c r="I174" s="56">
        <f t="shared" si="14"/>
        <v>0</v>
      </c>
      <c r="J174" s="57">
        <f t="shared" si="15"/>
        <v>0</v>
      </c>
    </row>
    <row r="175" spans="1:10" x14ac:dyDescent="0.25">
      <c r="A175" s="59"/>
      <c r="B175" s="46"/>
      <c r="C175" s="44"/>
      <c r="D175" s="44"/>
      <c r="E175" s="45">
        <v>0</v>
      </c>
      <c r="F175" s="42">
        <v>18</v>
      </c>
      <c r="G175" s="56">
        <f t="shared" si="12"/>
        <v>0</v>
      </c>
      <c r="H175" s="56">
        <f t="shared" si="13"/>
        <v>0</v>
      </c>
      <c r="I175" s="56">
        <f t="shared" si="14"/>
        <v>0</v>
      </c>
      <c r="J175" s="57">
        <f t="shared" si="15"/>
        <v>0</v>
      </c>
    </row>
    <row r="176" spans="1:10" x14ac:dyDescent="0.25">
      <c r="A176" s="59"/>
      <c r="B176" s="46"/>
      <c r="C176" s="44"/>
      <c r="D176" s="44"/>
      <c r="E176" s="45">
        <v>0</v>
      </c>
      <c r="F176" s="42">
        <v>18</v>
      </c>
      <c r="G176" s="56">
        <f t="shared" si="12"/>
        <v>0</v>
      </c>
      <c r="H176" s="56">
        <f t="shared" si="13"/>
        <v>0</v>
      </c>
      <c r="I176" s="56">
        <f t="shared" si="14"/>
        <v>0</v>
      </c>
      <c r="J176" s="57">
        <f t="shared" si="15"/>
        <v>0</v>
      </c>
    </row>
    <row r="177" spans="1:10" x14ac:dyDescent="0.25">
      <c r="A177" s="59"/>
      <c r="B177" s="46"/>
      <c r="C177" s="44"/>
      <c r="D177" s="44"/>
      <c r="E177" s="45">
        <v>0</v>
      </c>
      <c r="F177" s="42">
        <v>18</v>
      </c>
      <c r="G177" s="56">
        <f t="shared" si="12"/>
        <v>0</v>
      </c>
      <c r="H177" s="56">
        <f t="shared" si="13"/>
        <v>0</v>
      </c>
      <c r="I177" s="56">
        <f t="shared" si="14"/>
        <v>0</v>
      </c>
      <c r="J177" s="57">
        <f t="shared" si="15"/>
        <v>0</v>
      </c>
    </row>
    <row r="178" spans="1:10" x14ac:dyDescent="0.25">
      <c r="A178" s="59"/>
      <c r="B178" s="46"/>
      <c r="C178" s="44"/>
      <c r="D178" s="44"/>
      <c r="E178" s="45">
        <v>0</v>
      </c>
      <c r="F178" s="42">
        <v>18</v>
      </c>
      <c r="G178" s="56">
        <f t="shared" si="12"/>
        <v>0</v>
      </c>
      <c r="H178" s="56">
        <f t="shared" si="13"/>
        <v>0</v>
      </c>
      <c r="I178" s="56">
        <f t="shared" si="14"/>
        <v>0</v>
      </c>
      <c r="J178" s="57">
        <f t="shared" si="15"/>
        <v>0</v>
      </c>
    </row>
    <row r="179" spans="1:10" x14ac:dyDescent="0.25">
      <c r="A179" s="59"/>
      <c r="B179" s="46"/>
      <c r="C179" s="44"/>
      <c r="D179" s="44"/>
      <c r="E179" s="45">
        <v>0</v>
      </c>
      <c r="F179" s="42">
        <v>18</v>
      </c>
      <c r="G179" s="56">
        <f t="shared" si="12"/>
        <v>0</v>
      </c>
      <c r="H179" s="56">
        <f t="shared" si="13"/>
        <v>0</v>
      </c>
      <c r="I179" s="56">
        <f t="shared" si="14"/>
        <v>0</v>
      </c>
      <c r="J179" s="57">
        <f t="shared" si="15"/>
        <v>0</v>
      </c>
    </row>
    <row r="180" spans="1:10" x14ac:dyDescent="0.25">
      <c r="A180" s="59"/>
      <c r="B180" s="46"/>
      <c r="C180" s="44"/>
      <c r="D180" s="44"/>
      <c r="E180" s="45">
        <v>0</v>
      </c>
      <c r="F180" s="42">
        <v>18</v>
      </c>
      <c r="G180" s="56">
        <f t="shared" si="12"/>
        <v>0</v>
      </c>
      <c r="H180" s="56">
        <f t="shared" si="13"/>
        <v>0</v>
      </c>
      <c r="I180" s="56">
        <f t="shared" si="14"/>
        <v>0</v>
      </c>
      <c r="J180" s="57">
        <f t="shared" si="15"/>
        <v>0</v>
      </c>
    </row>
    <row r="181" spans="1:10" x14ac:dyDescent="0.25">
      <c r="A181" s="59"/>
      <c r="B181" s="46"/>
      <c r="C181" s="44"/>
      <c r="D181" s="44"/>
      <c r="E181" s="45">
        <v>0</v>
      </c>
      <c r="F181" s="42">
        <v>18</v>
      </c>
      <c r="G181" s="56">
        <f t="shared" si="12"/>
        <v>0</v>
      </c>
      <c r="H181" s="56">
        <f t="shared" si="13"/>
        <v>0</v>
      </c>
      <c r="I181" s="56">
        <f t="shared" si="14"/>
        <v>0</v>
      </c>
      <c r="J181" s="57">
        <f t="shared" si="15"/>
        <v>0</v>
      </c>
    </row>
    <row r="182" spans="1:10" x14ac:dyDescent="0.25">
      <c r="A182" s="59"/>
      <c r="B182" s="46"/>
      <c r="C182" s="44"/>
      <c r="D182" s="44"/>
      <c r="E182" s="45">
        <v>0</v>
      </c>
      <c r="F182" s="42">
        <v>18</v>
      </c>
      <c r="G182" s="56">
        <f t="shared" si="12"/>
        <v>0</v>
      </c>
      <c r="H182" s="56">
        <f t="shared" si="13"/>
        <v>0</v>
      </c>
      <c r="I182" s="56">
        <f t="shared" si="14"/>
        <v>0</v>
      </c>
      <c r="J182" s="57">
        <f t="shared" si="15"/>
        <v>0</v>
      </c>
    </row>
    <row r="183" spans="1:10" x14ac:dyDescent="0.25">
      <c r="A183" s="59"/>
      <c r="B183" s="46"/>
      <c r="C183" s="44"/>
      <c r="D183" s="44"/>
      <c r="E183" s="45">
        <v>0</v>
      </c>
      <c r="F183" s="42">
        <v>18</v>
      </c>
      <c r="G183" s="56">
        <f t="shared" si="12"/>
        <v>0</v>
      </c>
      <c r="H183" s="56">
        <f t="shared" si="13"/>
        <v>0</v>
      </c>
      <c r="I183" s="56">
        <f t="shared" si="14"/>
        <v>0</v>
      </c>
      <c r="J183" s="57">
        <f t="shared" si="15"/>
        <v>0</v>
      </c>
    </row>
    <row r="184" spans="1:10" x14ac:dyDescent="0.25">
      <c r="A184" s="59"/>
      <c r="B184" s="46"/>
      <c r="C184" s="44"/>
      <c r="D184" s="44"/>
      <c r="E184" s="45">
        <v>0</v>
      </c>
      <c r="F184" s="42">
        <v>18</v>
      </c>
      <c r="G184" s="56">
        <f t="shared" si="12"/>
        <v>0</v>
      </c>
      <c r="H184" s="56">
        <f t="shared" si="13"/>
        <v>0</v>
      </c>
      <c r="I184" s="56">
        <f t="shared" si="14"/>
        <v>0</v>
      </c>
      <c r="J184" s="57">
        <f t="shared" si="15"/>
        <v>0</v>
      </c>
    </row>
    <row r="185" spans="1:10" x14ac:dyDescent="0.25">
      <c r="A185" s="59"/>
      <c r="B185" s="46"/>
      <c r="C185" s="44"/>
      <c r="D185" s="44"/>
      <c r="E185" s="45">
        <v>0</v>
      </c>
      <c r="F185" s="42">
        <v>18</v>
      </c>
      <c r="G185" s="56">
        <f t="shared" si="12"/>
        <v>0</v>
      </c>
      <c r="H185" s="56">
        <f t="shared" si="13"/>
        <v>0</v>
      </c>
      <c r="I185" s="56">
        <f t="shared" si="14"/>
        <v>0</v>
      </c>
      <c r="J185" s="57">
        <f t="shared" si="15"/>
        <v>0</v>
      </c>
    </row>
    <row r="186" spans="1:10" x14ac:dyDescent="0.25">
      <c r="A186" s="59"/>
      <c r="B186" s="46"/>
      <c r="C186" s="44"/>
      <c r="D186" s="44"/>
      <c r="E186" s="45">
        <v>0</v>
      </c>
      <c r="F186" s="42">
        <v>18</v>
      </c>
      <c r="G186" s="56">
        <f t="shared" si="12"/>
        <v>0</v>
      </c>
      <c r="H186" s="56">
        <f t="shared" si="13"/>
        <v>0</v>
      </c>
      <c r="I186" s="56">
        <f t="shared" si="14"/>
        <v>0</v>
      </c>
      <c r="J186" s="57">
        <f t="shared" si="15"/>
        <v>0</v>
      </c>
    </row>
    <row r="187" spans="1:10" x14ac:dyDescent="0.25">
      <c r="A187" s="59"/>
      <c r="B187" s="46"/>
      <c r="C187" s="44"/>
      <c r="D187" s="44"/>
      <c r="E187" s="45">
        <v>0</v>
      </c>
      <c r="F187" s="42">
        <v>18</v>
      </c>
      <c r="G187" s="56">
        <f t="shared" si="12"/>
        <v>0</v>
      </c>
      <c r="H187" s="56">
        <f t="shared" si="13"/>
        <v>0</v>
      </c>
      <c r="I187" s="56">
        <f t="shared" si="14"/>
        <v>0</v>
      </c>
      <c r="J187" s="57">
        <f t="shared" si="15"/>
        <v>0</v>
      </c>
    </row>
    <row r="188" spans="1:10" x14ac:dyDescent="0.25">
      <c r="A188" s="59"/>
      <c r="B188" s="46"/>
      <c r="C188" s="44"/>
      <c r="D188" s="44"/>
      <c r="E188" s="45">
        <v>0</v>
      </c>
      <c r="F188" s="42">
        <v>18</v>
      </c>
      <c r="G188" s="56">
        <f t="shared" si="12"/>
        <v>0</v>
      </c>
      <c r="H188" s="56">
        <f t="shared" si="13"/>
        <v>0</v>
      </c>
      <c r="I188" s="56">
        <f t="shared" si="14"/>
        <v>0</v>
      </c>
      <c r="J188" s="57">
        <f t="shared" si="15"/>
        <v>0</v>
      </c>
    </row>
    <row r="189" spans="1:10" x14ac:dyDescent="0.25">
      <c r="A189" s="59"/>
      <c r="B189" s="46"/>
      <c r="C189" s="44"/>
      <c r="D189" s="44"/>
      <c r="E189" s="45">
        <v>0</v>
      </c>
      <c r="F189" s="42">
        <v>18</v>
      </c>
      <c r="G189" s="56">
        <f t="shared" si="12"/>
        <v>0</v>
      </c>
      <c r="H189" s="56">
        <f t="shared" si="13"/>
        <v>0</v>
      </c>
      <c r="I189" s="56">
        <f t="shared" si="14"/>
        <v>0</v>
      </c>
      <c r="J189" s="57">
        <f t="shared" si="15"/>
        <v>0</v>
      </c>
    </row>
    <row r="190" spans="1:10" x14ac:dyDescent="0.25">
      <c r="A190" s="59"/>
      <c r="B190" s="46"/>
      <c r="C190" s="44"/>
      <c r="D190" s="44"/>
      <c r="E190" s="45">
        <v>0</v>
      </c>
      <c r="F190" s="42">
        <v>18</v>
      </c>
      <c r="G190" s="56">
        <f t="shared" si="12"/>
        <v>0</v>
      </c>
      <c r="H190" s="56">
        <f t="shared" si="13"/>
        <v>0</v>
      </c>
      <c r="I190" s="56">
        <f t="shared" si="14"/>
        <v>0</v>
      </c>
      <c r="J190" s="57">
        <f t="shared" si="15"/>
        <v>0</v>
      </c>
    </row>
    <row r="191" spans="1:10" x14ac:dyDescent="0.25">
      <c r="A191" s="59"/>
      <c r="B191" s="46"/>
      <c r="C191" s="44"/>
      <c r="D191" s="44"/>
      <c r="E191" s="45">
        <v>0</v>
      </c>
      <c r="F191" s="42">
        <v>18</v>
      </c>
      <c r="G191" s="56">
        <f t="shared" si="12"/>
        <v>0</v>
      </c>
      <c r="H191" s="56">
        <f t="shared" si="13"/>
        <v>0</v>
      </c>
      <c r="I191" s="56">
        <f t="shared" si="14"/>
        <v>0</v>
      </c>
      <c r="J191" s="57">
        <f t="shared" si="15"/>
        <v>0</v>
      </c>
    </row>
    <row r="192" spans="1:10" x14ac:dyDescent="0.25">
      <c r="A192" s="59"/>
      <c r="B192" s="46"/>
      <c r="C192" s="44"/>
      <c r="D192" s="44"/>
      <c r="E192" s="45">
        <v>0</v>
      </c>
      <c r="F192" s="42">
        <v>18</v>
      </c>
      <c r="G192" s="56">
        <f t="shared" si="12"/>
        <v>0</v>
      </c>
      <c r="H192" s="56">
        <f t="shared" si="13"/>
        <v>0</v>
      </c>
      <c r="I192" s="56">
        <f t="shared" si="14"/>
        <v>0</v>
      </c>
      <c r="J192" s="57">
        <f t="shared" si="15"/>
        <v>0</v>
      </c>
    </row>
    <row r="193" spans="1:10" x14ac:dyDescent="0.25">
      <c r="A193" s="59"/>
      <c r="B193" s="46"/>
      <c r="C193" s="44"/>
      <c r="D193" s="44"/>
      <c r="E193" s="45">
        <v>0</v>
      </c>
      <c r="F193" s="42">
        <v>18</v>
      </c>
      <c r="G193" s="56">
        <f t="shared" si="12"/>
        <v>0</v>
      </c>
      <c r="H193" s="56">
        <f t="shared" si="13"/>
        <v>0</v>
      </c>
      <c r="I193" s="56">
        <f t="shared" si="14"/>
        <v>0</v>
      </c>
      <c r="J193" s="57">
        <f t="shared" si="15"/>
        <v>0</v>
      </c>
    </row>
    <row r="194" spans="1:10" x14ac:dyDescent="0.25">
      <c r="A194" s="59"/>
      <c r="B194" s="46"/>
      <c r="C194" s="44"/>
      <c r="D194" s="44"/>
      <c r="E194" s="45">
        <v>0</v>
      </c>
      <c r="F194" s="42">
        <v>18</v>
      </c>
      <c r="G194" s="56">
        <f t="shared" si="12"/>
        <v>0</v>
      </c>
      <c r="H194" s="56">
        <f t="shared" si="13"/>
        <v>0</v>
      </c>
      <c r="I194" s="56">
        <f t="shared" si="14"/>
        <v>0</v>
      </c>
      <c r="J194" s="57">
        <f t="shared" si="15"/>
        <v>0</v>
      </c>
    </row>
    <row r="195" spans="1:10" x14ac:dyDescent="0.25">
      <c r="A195" s="59"/>
      <c r="B195" s="46"/>
      <c r="C195" s="44"/>
      <c r="D195" s="44"/>
      <c r="E195" s="45">
        <v>0</v>
      </c>
      <c r="F195" s="42">
        <v>18</v>
      </c>
      <c r="G195" s="56">
        <f t="shared" si="12"/>
        <v>0</v>
      </c>
      <c r="H195" s="56">
        <f t="shared" si="13"/>
        <v>0</v>
      </c>
      <c r="I195" s="56">
        <f t="shared" si="14"/>
        <v>0</v>
      </c>
      <c r="J195" s="57">
        <f t="shared" si="15"/>
        <v>0</v>
      </c>
    </row>
    <row r="196" spans="1:10" x14ac:dyDescent="0.25">
      <c r="A196" s="59"/>
      <c r="B196" s="46"/>
      <c r="C196" s="44"/>
      <c r="D196" s="44"/>
      <c r="E196" s="45">
        <v>0</v>
      </c>
      <c r="F196" s="42">
        <v>18</v>
      </c>
      <c r="G196" s="56">
        <f t="shared" ref="G196:G250" si="16">ROUND((E196*F196%)/2,)</f>
        <v>0</v>
      </c>
      <c r="H196" s="56">
        <f t="shared" ref="H196:H250" si="17">G196</f>
        <v>0</v>
      </c>
      <c r="I196" s="56">
        <f t="shared" ref="I196:I250" si="18">G196+H196</f>
        <v>0</v>
      </c>
      <c r="J196" s="57">
        <f t="shared" ref="J196:J250" si="19">E196+I196</f>
        <v>0</v>
      </c>
    </row>
    <row r="197" spans="1:10" x14ac:dyDescent="0.25">
      <c r="A197" s="59"/>
      <c r="B197" s="46"/>
      <c r="C197" s="44"/>
      <c r="D197" s="44"/>
      <c r="E197" s="45">
        <v>0</v>
      </c>
      <c r="F197" s="42">
        <v>18</v>
      </c>
      <c r="G197" s="56">
        <f t="shared" si="16"/>
        <v>0</v>
      </c>
      <c r="H197" s="56">
        <f t="shared" si="17"/>
        <v>0</v>
      </c>
      <c r="I197" s="56">
        <f t="shared" si="18"/>
        <v>0</v>
      </c>
      <c r="J197" s="57">
        <f t="shared" si="19"/>
        <v>0</v>
      </c>
    </row>
    <row r="198" spans="1:10" x14ac:dyDescent="0.25">
      <c r="A198" s="59"/>
      <c r="B198" s="46"/>
      <c r="C198" s="44"/>
      <c r="D198" s="44"/>
      <c r="E198" s="45">
        <v>0</v>
      </c>
      <c r="F198" s="42">
        <v>18</v>
      </c>
      <c r="G198" s="56">
        <f t="shared" si="16"/>
        <v>0</v>
      </c>
      <c r="H198" s="56">
        <f t="shared" si="17"/>
        <v>0</v>
      </c>
      <c r="I198" s="56">
        <f t="shared" si="18"/>
        <v>0</v>
      </c>
      <c r="J198" s="57">
        <f t="shared" si="19"/>
        <v>0</v>
      </c>
    </row>
    <row r="199" spans="1:10" x14ac:dyDescent="0.25">
      <c r="A199" s="59"/>
      <c r="B199" s="46"/>
      <c r="C199" s="44"/>
      <c r="D199" s="44"/>
      <c r="E199" s="45">
        <v>0</v>
      </c>
      <c r="F199" s="42">
        <v>18</v>
      </c>
      <c r="G199" s="56">
        <f t="shared" si="16"/>
        <v>0</v>
      </c>
      <c r="H199" s="56">
        <f t="shared" si="17"/>
        <v>0</v>
      </c>
      <c r="I199" s="56">
        <f t="shared" si="18"/>
        <v>0</v>
      </c>
      <c r="J199" s="57">
        <f t="shared" si="19"/>
        <v>0</v>
      </c>
    </row>
    <row r="200" spans="1:10" x14ac:dyDescent="0.25">
      <c r="A200" s="59"/>
      <c r="B200" s="46"/>
      <c r="C200" s="44"/>
      <c r="D200" s="44"/>
      <c r="E200" s="45">
        <v>0</v>
      </c>
      <c r="F200" s="42">
        <v>18</v>
      </c>
      <c r="G200" s="56">
        <f t="shared" si="16"/>
        <v>0</v>
      </c>
      <c r="H200" s="56">
        <f t="shared" si="17"/>
        <v>0</v>
      </c>
      <c r="I200" s="56">
        <f t="shared" si="18"/>
        <v>0</v>
      </c>
      <c r="J200" s="57">
        <f t="shared" si="19"/>
        <v>0</v>
      </c>
    </row>
    <row r="201" spans="1:10" x14ac:dyDescent="0.25">
      <c r="A201" s="59"/>
      <c r="B201" s="46"/>
      <c r="C201" s="44"/>
      <c r="D201" s="44"/>
      <c r="E201" s="45">
        <v>0</v>
      </c>
      <c r="F201" s="42">
        <v>18</v>
      </c>
      <c r="G201" s="56">
        <f t="shared" si="16"/>
        <v>0</v>
      </c>
      <c r="H201" s="56">
        <f t="shared" si="17"/>
        <v>0</v>
      </c>
      <c r="I201" s="56">
        <f t="shared" si="18"/>
        <v>0</v>
      </c>
      <c r="J201" s="57">
        <f t="shared" si="19"/>
        <v>0</v>
      </c>
    </row>
    <row r="202" spans="1:10" x14ac:dyDescent="0.25">
      <c r="A202" s="59"/>
      <c r="B202" s="46"/>
      <c r="C202" s="44"/>
      <c r="D202" s="44"/>
      <c r="E202" s="45">
        <v>0</v>
      </c>
      <c r="F202" s="42">
        <v>18</v>
      </c>
      <c r="G202" s="56">
        <f t="shared" si="16"/>
        <v>0</v>
      </c>
      <c r="H202" s="56">
        <f t="shared" si="17"/>
        <v>0</v>
      </c>
      <c r="I202" s="56">
        <f t="shared" si="18"/>
        <v>0</v>
      </c>
      <c r="J202" s="57">
        <f t="shared" si="19"/>
        <v>0</v>
      </c>
    </row>
    <row r="203" spans="1:10" x14ac:dyDescent="0.25">
      <c r="A203" s="59"/>
      <c r="B203" s="46"/>
      <c r="C203" s="44"/>
      <c r="D203" s="44"/>
      <c r="E203" s="45">
        <v>0</v>
      </c>
      <c r="F203" s="42">
        <v>18</v>
      </c>
      <c r="G203" s="56">
        <f t="shared" si="16"/>
        <v>0</v>
      </c>
      <c r="H203" s="56">
        <f t="shared" si="17"/>
        <v>0</v>
      </c>
      <c r="I203" s="56">
        <f t="shared" si="18"/>
        <v>0</v>
      </c>
      <c r="J203" s="57">
        <f t="shared" si="19"/>
        <v>0</v>
      </c>
    </row>
    <row r="204" spans="1:10" x14ac:dyDescent="0.25">
      <c r="A204" s="59"/>
      <c r="B204" s="46"/>
      <c r="C204" s="44"/>
      <c r="D204" s="44"/>
      <c r="E204" s="45">
        <v>0</v>
      </c>
      <c r="F204" s="42">
        <v>18</v>
      </c>
      <c r="G204" s="56">
        <f t="shared" si="16"/>
        <v>0</v>
      </c>
      <c r="H204" s="56">
        <f t="shared" si="17"/>
        <v>0</v>
      </c>
      <c r="I204" s="56">
        <f t="shared" si="18"/>
        <v>0</v>
      </c>
      <c r="J204" s="57">
        <f t="shared" si="19"/>
        <v>0</v>
      </c>
    </row>
    <row r="205" spans="1:10" x14ac:dyDescent="0.25">
      <c r="A205" s="59"/>
      <c r="B205" s="46"/>
      <c r="C205" s="44"/>
      <c r="D205" s="44"/>
      <c r="E205" s="45">
        <v>0</v>
      </c>
      <c r="F205" s="42">
        <v>18</v>
      </c>
      <c r="G205" s="56">
        <f t="shared" si="16"/>
        <v>0</v>
      </c>
      <c r="H205" s="56">
        <f t="shared" si="17"/>
        <v>0</v>
      </c>
      <c r="I205" s="56">
        <f t="shared" si="18"/>
        <v>0</v>
      </c>
      <c r="J205" s="57">
        <f t="shared" si="19"/>
        <v>0</v>
      </c>
    </row>
    <row r="206" spans="1:10" x14ac:dyDescent="0.25">
      <c r="A206" s="59"/>
      <c r="B206" s="46"/>
      <c r="C206" s="44"/>
      <c r="D206" s="44"/>
      <c r="E206" s="45">
        <v>0</v>
      </c>
      <c r="F206" s="42">
        <v>18</v>
      </c>
      <c r="G206" s="56">
        <f t="shared" si="16"/>
        <v>0</v>
      </c>
      <c r="H206" s="56">
        <f t="shared" si="17"/>
        <v>0</v>
      </c>
      <c r="I206" s="56">
        <f t="shared" si="18"/>
        <v>0</v>
      </c>
      <c r="J206" s="57">
        <f t="shared" si="19"/>
        <v>0</v>
      </c>
    </row>
    <row r="207" spans="1:10" x14ac:dyDescent="0.25">
      <c r="A207" s="59"/>
      <c r="B207" s="46"/>
      <c r="C207" s="44"/>
      <c r="D207" s="44"/>
      <c r="E207" s="45">
        <v>0</v>
      </c>
      <c r="F207" s="42">
        <v>18</v>
      </c>
      <c r="G207" s="56">
        <f t="shared" si="16"/>
        <v>0</v>
      </c>
      <c r="H207" s="56">
        <f t="shared" si="17"/>
        <v>0</v>
      </c>
      <c r="I207" s="56">
        <f t="shared" si="18"/>
        <v>0</v>
      </c>
      <c r="J207" s="57">
        <f t="shared" si="19"/>
        <v>0</v>
      </c>
    </row>
    <row r="208" spans="1:10" x14ac:dyDescent="0.25">
      <c r="A208" s="59"/>
      <c r="B208" s="46"/>
      <c r="C208" s="44"/>
      <c r="D208" s="44"/>
      <c r="E208" s="45">
        <v>0</v>
      </c>
      <c r="F208" s="42">
        <v>18</v>
      </c>
      <c r="G208" s="56">
        <f t="shared" si="16"/>
        <v>0</v>
      </c>
      <c r="H208" s="56">
        <f t="shared" si="17"/>
        <v>0</v>
      </c>
      <c r="I208" s="56">
        <f t="shared" si="18"/>
        <v>0</v>
      </c>
      <c r="J208" s="57">
        <f t="shared" si="19"/>
        <v>0</v>
      </c>
    </row>
    <row r="209" spans="1:10" x14ac:dyDescent="0.25">
      <c r="A209" s="59"/>
      <c r="B209" s="46"/>
      <c r="C209" s="44"/>
      <c r="D209" s="44"/>
      <c r="E209" s="45">
        <v>0</v>
      </c>
      <c r="F209" s="42">
        <v>18</v>
      </c>
      <c r="G209" s="56">
        <f t="shared" si="16"/>
        <v>0</v>
      </c>
      <c r="H209" s="56">
        <f t="shared" si="17"/>
        <v>0</v>
      </c>
      <c r="I209" s="56">
        <f t="shared" si="18"/>
        <v>0</v>
      </c>
      <c r="J209" s="57">
        <f t="shared" si="19"/>
        <v>0</v>
      </c>
    </row>
    <row r="210" spans="1:10" x14ac:dyDescent="0.25">
      <c r="A210" s="59"/>
      <c r="B210" s="46"/>
      <c r="C210" s="44"/>
      <c r="D210" s="44"/>
      <c r="E210" s="45">
        <v>0</v>
      </c>
      <c r="F210" s="42">
        <v>18</v>
      </c>
      <c r="G210" s="56">
        <f t="shared" si="16"/>
        <v>0</v>
      </c>
      <c r="H210" s="56">
        <f t="shared" si="17"/>
        <v>0</v>
      </c>
      <c r="I210" s="56">
        <f t="shared" si="18"/>
        <v>0</v>
      </c>
      <c r="J210" s="57">
        <f t="shared" si="19"/>
        <v>0</v>
      </c>
    </row>
    <row r="211" spans="1:10" x14ac:dyDescent="0.25">
      <c r="A211" s="59"/>
      <c r="B211" s="46"/>
      <c r="C211" s="44"/>
      <c r="D211" s="44"/>
      <c r="E211" s="45">
        <v>0</v>
      </c>
      <c r="F211" s="42">
        <v>18</v>
      </c>
      <c r="G211" s="56">
        <f t="shared" si="16"/>
        <v>0</v>
      </c>
      <c r="H211" s="56">
        <f t="shared" si="17"/>
        <v>0</v>
      </c>
      <c r="I211" s="56">
        <f t="shared" si="18"/>
        <v>0</v>
      </c>
      <c r="J211" s="57">
        <f t="shared" si="19"/>
        <v>0</v>
      </c>
    </row>
    <row r="212" spans="1:10" x14ac:dyDescent="0.25">
      <c r="A212" s="59"/>
      <c r="B212" s="46"/>
      <c r="C212" s="44"/>
      <c r="D212" s="44"/>
      <c r="E212" s="45">
        <v>0</v>
      </c>
      <c r="F212" s="42">
        <v>18</v>
      </c>
      <c r="G212" s="56">
        <f t="shared" si="16"/>
        <v>0</v>
      </c>
      <c r="H212" s="56">
        <f t="shared" si="17"/>
        <v>0</v>
      </c>
      <c r="I212" s="56">
        <f t="shared" si="18"/>
        <v>0</v>
      </c>
      <c r="J212" s="57">
        <f t="shared" si="19"/>
        <v>0</v>
      </c>
    </row>
    <row r="213" spans="1:10" x14ac:dyDescent="0.25">
      <c r="A213" s="59"/>
      <c r="B213" s="46"/>
      <c r="C213" s="44"/>
      <c r="D213" s="44"/>
      <c r="E213" s="45">
        <v>0</v>
      </c>
      <c r="F213" s="42">
        <v>18</v>
      </c>
      <c r="G213" s="56">
        <f t="shared" si="16"/>
        <v>0</v>
      </c>
      <c r="H213" s="56">
        <f t="shared" si="17"/>
        <v>0</v>
      </c>
      <c r="I213" s="56">
        <f t="shared" si="18"/>
        <v>0</v>
      </c>
      <c r="J213" s="57">
        <f t="shared" si="19"/>
        <v>0</v>
      </c>
    </row>
    <row r="214" spans="1:10" x14ac:dyDescent="0.25">
      <c r="A214" s="59"/>
      <c r="B214" s="46"/>
      <c r="C214" s="44"/>
      <c r="D214" s="44"/>
      <c r="E214" s="45">
        <v>0</v>
      </c>
      <c r="F214" s="42">
        <v>18</v>
      </c>
      <c r="G214" s="56">
        <f t="shared" si="16"/>
        <v>0</v>
      </c>
      <c r="H214" s="56">
        <f t="shared" si="17"/>
        <v>0</v>
      </c>
      <c r="I214" s="56">
        <f t="shared" si="18"/>
        <v>0</v>
      </c>
      <c r="J214" s="57">
        <f t="shared" si="19"/>
        <v>0</v>
      </c>
    </row>
    <row r="215" spans="1:10" x14ac:dyDescent="0.25">
      <c r="A215" s="59"/>
      <c r="B215" s="46"/>
      <c r="C215" s="44"/>
      <c r="D215" s="44"/>
      <c r="E215" s="45">
        <v>0</v>
      </c>
      <c r="F215" s="42">
        <v>18</v>
      </c>
      <c r="G215" s="56">
        <f t="shared" si="16"/>
        <v>0</v>
      </c>
      <c r="H215" s="56">
        <f t="shared" si="17"/>
        <v>0</v>
      </c>
      <c r="I215" s="56">
        <f t="shared" si="18"/>
        <v>0</v>
      </c>
      <c r="J215" s="57">
        <f t="shared" si="19"/>
        <v>0</v>
      </c>
    </row>
    <row r="216" spans="1:10" x14ac:dyDescent="0.25">
      <c r="A216" s="59"/>
      <c r="B216" s="46"/>
      <c r="C216" s="44"/>
      <c r="D216" s="44"/>
      <c r="E216" s="45">
        <v>0</v>
      </c>
      <c r="F216" s="42">
        <v>18</v>
      </c>
      <c r="G216" s="56">
        <f t="shared" si="16"/>
        <v>0</v>
      </c>
      <c r="H216" s="56">
        <f t="shared" si="17"/>
        <v>0</v>
      </c>
      <c r="I216" s="56">
        <f t="shared" si="18"/>
        <v>0</v>
      </c>
      <c r="J216" s="57">
        <f t="shared" si="19"/>
        <v>0</v>
      </c>
    </row>
    <row r="217" spans="1:10" x14ac:dyDescent="0.25">
      <c r="A217" s="59"/>
      <c r="B217" s="46"/>
      <c r="C217" s="44"/>
      <c r="D217" s="44"/>
      <c r="E217" s="45">
        <v>0</v>
      </c>
      <c r="F217" s="42">
        <v>18</v>
      </c>
      <c r="G217" s="56">
        <f t="shared" si="16"/>
        <v>0</v>
      </c>
      <c r="H217" s="56">
        <f t="shared" si="17"/>
        <v>0</v>
      </c>
      <c r="I217" s="56">
        <f t="shared" si="18"/>
        <v>0</v>
      </c>
      <c r="J217" s="57">
        <f t="shared" si="19"/>
        <v>0</v>
      </c>
    </row>
    <row r="218" spans="1:10" x14ac:dyDescent="0.25">
      <c r="A218" s="59"/>
      <c r="B218" s="46"/>
      <c r="C218" s="44"/>
      <c r="D218" s="44"/>
      <c r="E218" s="45">
        <v>0</v>
      </c>
      <c r="F218" s="42">
        <v>18</v>
      </c>
      <c r="G218" s="56">
        <f t="shared" si="16"/>
        <v>0</v>
      </c>
      <c r="H218" s="56">
        <f t="shared" si="17"/>
        <v>0</v>
      </c>
      <c r="I218" s="56">
        <f t="shared" si="18"/>
        <v>0</v>
      </c>
      <c r="J218" s="57">
        <f t="shared" si="19"/>
        <v>0</v>
      </c>
    </row>
    <row r="219" spans="1:10" x14ac:dyDescent="0.25">
      <c r="A219" s="59"/>
      <c r="B219" s="46"/>
      <c r="C219" s="44"/>
      <c r="D219" s="44"/>
      <c r="E219" s="45">
        <v>0</v>
      </c>
      <c r="F219" s="42">
        <v>18</v>
      </c>
      <c r="G219" s="56">
        <f t="shared" si="16"/>
        <v>0</v>
      </c>
      <c r="H219" s="56">
        <f t="shared" si="17"/>
        <v>0</v>
      </c>
      <c r="I219" s="56">
        <f t="shared" si="18"/>
        <v>0</v>
      </c>
      <c r="J219" s="57">
        <f t="shared" si="19"/>
        <v>0</v>
      </c>
    </row>
    <row r="220" spans="1:10" x14ac:dyDescent="0.25">
      <c r="A220" s="59"/>
      <c r="B220" s="46"/>
      <c r="C220" s="44"/>
      <c r="D220" s="44"/>
      <c r="E220" s="45">
        <v>0</v>
      </c>
      <c r="F220" s="42">
        <v>18</v>
      </c>
      <c r="G220" s="56">
        <f t="shared" si="16"/>
        <v>0</v>
      </c>
      <c r="H220" s="56">
        <f t="shared" si="17"/>
        <v>0</v>
      </c>
      <c r="I220" s="56">
        <f t="shared" si="18"/>
        <v>0</v>
      </c>
      <c r="J220" s="57">
        <f t="shared" si="19"/>
        <v>0</v>
      </c>
    </row>
    <row r="221" spans="1:10" x14ac:dyDescent="0.25">
      <c r="A221" s="59"/>
      <c r="B221" s="46"/>
      <c r="C221" s="44"/>
      <c r="D221" s="44"/>
      <c r="E221" s="45">
        <v>0</v>
      </c>
      <c r="F221" s="42">
        <v>18</v>
      </c>
      <c r="G221" s="56">
        <f t="shared" si="16"/>
        <v>0</v>
      </c>
      <c r="H221" s="56">
        <f t="shared" si="17"/>
        <v>0</v>
      </c>
      <c r="I221" s="56">
        <f t="shared" si="18"/>
        <v>0</v>
      </c>
      <c r="J221" s="57">
        <f t="shared" si="19"/>
        <v>0</v>
      </c>
    </row>
    <row r="222" spans="1:10" x14ac:dyDescent="0.25">
      <c r="A222" s="59"/>
      <c r="B222" s="46"/>
      <c r="C222" s="44"/>
      <c r="D222" s="44"/>
      <c r="E222" s="45">
        <v>0</v>
      </c>
      <c r="F222" s="42">
        <v>18</v>
      </c>
      <c r="G222" s="56">
        <f t="shared" si="16"/>
        <v>0</v>
      </c>
      <c r="H222" s="56">
        <f t="shared" si="17"/>
        <v>0</v>
      </c>
      <c r="I222" s="56">
        <f t="shared" si="18"/>
        <v>0</v>
      </c>
      <c r="J222" s="57">
        <f t="shared" si="19"/>
        <v>0</v>
      </c>
    </row>
    <row r="223" spans="1:10" x14ac:dyDescent="0.25">
      <c r="A223" s="59"/>
      <c r="B223" s="46"/>
      <c r="C223" s="44"/>
      <c r="D223" s="44"/>
      <c r="E223" s="45">
        <v>0</v>
      </c>
      <c r="F223" s="42">
        <v>18</v>
      </c>
      <c r="G223" s="56">
        <f t="shared" si="16"/>
        <v>0</v>
      </c>
      <c r="H223" s="56">
        <f t="shared" si="17"/>
        <v>0</v>
      </c>
      <c r="I223" s="56">
        <f t="shared" si="18"/>
        <v>0</v>
      </c>
      <c r="J223" s="57">
        <f t="shared" si="19"/>
        <v>0</v>
      </c>
    </row>
    <row r="224" spans="1:10" x14ac:dyDescent="0.25">
      <c r="A224" s="59"/>
      <c r="B224" s="46"/>
      <c r="C224" s="44"/>
      <c r="D224" s="44"/>
      <c r="E224" s="45">
        <v>0</v>
      </c>
      <c r="F224" s="42">
        <v>18</v>
      </c>
      <c r="G224" s="56">
        <f t="shared" si="16"/>
        <v>0</v>
      </c>
      <c r="H224" s="56">
        <f t="shared" si="17"/>
        <v>0</v>
      </c>
      <c r="I224" s="56">
        <f t="shared" si="18"/>
        <v>0</v>
      </c>
      <c r="J224" s="57">
        <f t="shared" si="19"/>
        <v>0</v>
      </c>
    </row>
    <row r="225" spans="1:10" x14ac:dyDescent="0.25">
      <c r="A225" s="59"/>
      <c r="B225" s="46"/>
      <c r="C225" s="44"/>
      <c r="D225" s="44"/>
      <c r="E225" s="45">
        <v>0</v>
      </c>
      <c r="F225" s="42">
        <v>18</v>
      </c>
      <c r="G225" s="56">
        <f t="shared" si="16"/>
        <v>0</v>
      </c>
      <c r="H225" s="56">
        <f t="shared" si="17"/>
        <v>0</v>
      </c>
      <c r="I225" s="56">
        <f t="shared" si="18"/>
        <v>0</v>
      </c>
      <c r="J225" s="57">
        <f t="shared" si="19"/>
        <v>0</v>
      </c>
    </row>
    <row r="226" spans="1:10" x14ac:dyDescent="0.25">
      <c r="A226" s="59"/>
      <c r="B226" s="46"/>
      <c r="C226" s="44"/>
      <c r="D226" s="44"/>
      <c r="E226" s="45">
        <v>0</v>
      </c>
      <c r="F226" s="42">
        <v>18</v>
      </c>
      <c r="G226" s="56">
        <f t="shared" si="16"/>
        <v>0</v>
      </c>
      <c r="H226" s="56">
        <f t="shared" si="17"/>
        <v>0</v>
      </c>
      <c r="I226" s="56">
        <f t="shared" si="18"/>
        <v>0</v>
      </c>
      <c r="J226" s="57">
        <f t="shared" si="19"/>
        <v>0</v>
      </c>
    </row>
    <row r="227" spans="1:10" x14ac:dyDescent="0.25">
      <c r="A227" s="59"/>
      <c r="B227" s="46"/>
      <c r="C227" s="44"/>
      <c r="D227" s="44"/>
      <c r="E227" s="45">
        <v>0</v>
      </c>
      <c r="F227" s="42">
        <v>18</v>
      </c>
      <c r="G227" s="56">
        <f t="shared" si="16"/>
        <v>0</v>
      </c>
      <c r="H227" s="56">
        <f t="shared" si="17"/>
        <v>0</v>
      </c>
      <c r="I227" s="56">
        <f t="shared" si="18"/>
        <v>0</v>
      </c>
      <c r="J227" s="57">
        <f t="shared" si="19"/>
        <v>0</v>
      </c>
    </row>
    <row r="228" spans="1:10" x14ac:dyDescent="0.25">
      <c r="A228" s="59"/>
      <c r="B228" s="46"/>
      <c r="C228" s="44"/>
      <c r="D228" s="44"/>
      <c r="E228" s="45">
        <v>0</v>
      </c>
      <c r="F228" s="42">
        <v>18</v>
      </c>
      <c r="G228" s="56">
        <f t="shared" si="16"/>
        <v>0</v>
      </c>
      <c r="H228" s="56">
        <f t="shared" si="17"/>
        <v>0</v>
      </c>
      <c r="I228" s="56">
        <f t="shared" si="18"/>
        <v>0</v>
      </c>
      <c r="J228" s="57">
        <f t="shared" si="19"/>
        <v>0</v>
      </c>
    </row>
    <row r="229" spans="1:10" x14ac:dyDescent="0.25">
      <c r="A229" s="59"/>
      <c r="B229" s="46"/>
      <c r="C229" s="44"/>
      <c r="D229" s="44"/>
      <c r="E229" s="45">
        <v>0</v>
      </c>
      <c r="F229" s="42">
        <v>18</v>
      </c>
      <c r="G229" s="56">
        <f t="shared" si="16"/>
        <v>0</v>
      </c>
      <c r="H229" s="56">
        <f t="shared" si="17"/>
        <v>0</v>
      </c>
      <c r="I229" s="56">
        <f t="shared" si="18"/>
        <v>0</v>
      </c>
      <c r="J229" s="57">
        <f t="shared" si="19"/>
        <v>0</v>
      </c>
    </row>
    <row r="230" spans="1:10" x14ac:dyDescent="0.25">
      <c r="A230" s="59"/>
      <c r="B230" s="46"/>
      <c r="C230" s="44"/>
      <c r="D230" s="44"/>
      <c r="E230" s="45">
        <v>0</v>
      </c>
      <c r="F230" s="42">
        <v>18</v>
      </c>
      <c r="G230" s="56">
        <f t="shared" si="16"/>
        <v>0</v>
      </c>
      <c r="H230" s="56">
        <f t="shared" si="17"/>
        <v>0</v>
      </c>
      <c r="I230" s="56">
        <f t="shared" si="18"/>
        <v>0</v>
      </c>
      <c r="J230" s="57">
        <f t="shared" si="19"/>
        <v>0</v>
      </c>
    </row>
    <row r="231" spans="1:10" x14ac:dyDescent="0.25">
      <c r="A231" s="59"/>
      <c r="B231" s="46"/>
      <c r="C231" s="44"/>
      <c r="D231" s="44"/>
      <c r="E231" s="45">
        <v>0</v>
      </c>
      <c r="F231" s="42">
        <v>18</v>
      </c>
      <c r="G231" s="56">
        <f t="shared" si="16"/>
        <v>0</v>
      </c>
      <c r="H231" s="56">
        <f t="shared" si="17"/>
        <v>0</v>
      </c>
      <c r="I231" s="56">
        <f t="shared" si="18"/>
        <v>0</v>
      </c>
      <c r="J231" s="57">
        <f t="shared" si="19"/>
        <v>0</v>
      </c>
    </row>
    <row r="232" spans="1:10" x14ac:dyDescent="0.25">
      <c r="A232" s="59"/>
      <c r="B232" s="46"/>
      <c r="C232" s="44"/>
      <c r="D232" s="44"/>
      <c r="E232" s="45">
        <v>0</v>
      </c>
      <c r="F232" s="42">
        <v>18</v>
      </c>
      <c r="G232" s="56">
        <f t="shared" si="16"/>
        <v>0</v>
      </c>
      <c r="H232" s="56">
        <f t="shared" si="17"/>
        <v>0</v>
      </c>
      <c r="I232" s="56">
        <f t="shared" si="18"/>
        <v>0</v>
      </c>
      <c r="J232" s="57">
        <f t="shared" si="19"/>
        <v>0</v>
      </c>
    </row>
    <row r="233" spans="1:10" x14ac:dyDescent="0.25">
      <c r="A233" s="59"/>
      <c r="B233" s="46"/>
      <c r="C233" s="44"/>
      <c r="D233" s="44"/>
      <c r="E233" s="45">
        <v>0</v>
      </c>
      <c r="F233" s="42">
        <v>18</v>
      </c>
      <c r="G233" s="56">
        <f t="shared" si="16"/>
        <v>0</v>
      </c>
      <c r="H233" s="56">
        <f t="shared" si="17"/>
        <v>0</v>
      </c>
      <c r="I233" s="56">
        <f t="shared" si="18"/>
        <v>0</v>
      </c>
      <c r="J233" s="57">
        <f t="shared" si="19"/>
        <v>0</v>
      </c>
    </row>
    <row r="234" spans="1:10" x14ac:dyDescent="0.25">
      <c r="A234" s="59"/>
      <c r="B234" s="46"/>
      <c r="C234" s="44"/>
      <c r="D234" s="44"/>
      <c r="E234" s="45">
        <v>0</v>
      </c>
      <c r="F234" s="42">
        <v>18</v>
      </c>
      <c r="G234" s="56">
        <f t="shared" si="16"/>
        <v>0</v>
      </c>
      <c r="H234" s="56">
        <f t="shared" si="17"/>
        <v>0</v>
      </c>
      <c r="I234" s="56">
        <f t="shared" si="18"/>
        <v>0</v>
      </c>
      <c r="J234" s="57">
        <f t="shared" si="19"/>
        <v>0</v>
      </c>
    </row>
    <row r="235" spans="1:10" x14ac:dyDescent="0.25">
      <c r="A235" s="59"/>
      <c r="B235" s="46"/>
      <c r="C235" s="44"/>
      <c r="D235" s="44"/>
      <c r="E235" s="45">
        <v>0</v>
      </c>
      <c r="F235" s="42">
        <v>18</v>
      </c>
      <c r="G235" s="56">
        <f t="shared" si="16"/>
        <v>0</v>
      </c>
      <c r="H235" s="56">
        <f t="shared" si="17"/>
        <v>0</v>
      </c>
      <c r="I235" s="56">
        <f t="shared" si="18"/>
        <v>0</v>
      </c>
      <c r="J235" s="57">
        <f t="shared" si="19"/>
        <v>0</v>
      </c>
    </row>
    <row r="236" spans="1:10" x14ac:dyDescent="0.25">
      <c r="A236" s="59"/>
      <c r="B236" s="46"/>
      <c r="C236" s="44"/>
      <c r="D236" s="44"/>
      <c r="E236" s="45">
        <v>0</v>
      </c>
      <c r="F236" s="42">
        <v>18</v>
      </c>
      <c r="G236" s="56">
        <f t="shared" si="16"/>
        <v>0</v>
      </c>
      <c r="H236" s="56">
        <f t="shared" si="17"/>
        <v>0</v>
      </c>
      <c r="I236" s="56">
        <f t="shared" si="18"/>
        <v>0</v>
      </c>
      <c r="J236" s="57">
        <f t="shared" si="19"/>
        <v>0</v>
      </c>
    </row>
    <row r="237" spans="1:10" x14ac:dyDescent="0.25">
      <c r="A237" s="59"/>
      <c r="B237" s="46"/>
      <c r="C237" s="44"/>
      <c r="D237" s="44"/>
      <c r="E237" s="45">
        <v>0</v>
      </c>
      <c r="F237" s="42">
        <v>18</v>
      </c>
      <c r="G237" s="56">
        <f t="shared" si="16"/>
        <v>0</v>
      </c>
      <c r="H237" s="56">
        <f t="shared" si="17"/>
        <v>0</v>
      </c>
      <c r="I237" s="56">
        <f t="shared" si="18"/>
        <v>0</v>
      </c>
      <c r="J237" s="57">
        <f t="shared" si="19"/>
        <v>0</v>
      </c>
    </row>
    <row r="238" spans="1:10" x14ac:dyDescent="0.25">
      <c r="A238" s="59"/>
      <c r="B238" s="46"/>
      <c r="C238" s="44"/>
      <c r="D238" s="44"/>
      <c r="E238" s="45">
        <v>0</v>
      </c>
      <c r="F238" s="42">
        <v>18</v>
      </c>
      <c r="G238" s="56">
        <f t="shared" si="16"/>
        <v>0</v>
      </c>
      <c r="H238" s="56">
        <f t="shared" si="17"/>
        <v>0</v>
      </c>
      <c r="I238" s="56">
        <f t="shared" si="18"/>
        <v>0</v>
      </c>
      <c r="J238" s="57">
        <f t="shared" si="19"/>
        <v>0</v>
      </c>
    </row>
    <row r="239" spans="1:10" x14ac:dyDescent="0.25">
      <c r="A239" s="59"/>
      <c r="B239" s="46"/>
      <c r="C239" s="44"/>
      <c r="D239" s="44"/>
      <c r="E239" s="45">
        <v>0</v>
      </c>
      <c r="F239" s="42">
        <v>18</v>
      </c>
      <c r="G239" s="56">
        <f t="shared" si="16"/>
        <v>0</v>
      </c>
      <c r="H239" s="56">
        <f t="shared" si="17"/>
        <v>0</v>
      </c>
      <c r="I239" s="56">
        <f t="shared" si="18"/>
        <v>0</v>
      </c>
      <c r="J239" s="57">
        <f t="shared" si="19"/>
        <v>0</v>
      </c>
    </row>
    <row r="240" spans="1:10" x14ac:dyDescent="0.25">
      <c r="A240" s="59"/>
      <c r="B240" s="46"/>
      <c r="C240" s="44"/>
      <c r="D240" s="44"/>
      <c r="E240" s="45">
        <v>0</v>
      </c>
      <c r="F240" s="42">
        <v>18</v>
      </c>
      <c r="G240" s="56">
        <f t="shared" si="16"/>
        <v>0</v>
      </c>
      <c r="H240" s="56">
        <f t="shared" si="17"/>
        <v>0</v>
      </c>
      <c r="I240" s="56">
        <f t="shared" si="18"/>
        <v>0</v>
      </c>
      <c r="J240" s="57">
        <f t="shared" si="19"/>
        <v>0</v>
      </c>
    </row>
    <row r="241" spans="1:10" x14ac:dyDescent="0.25">
      <c r="A241" s="59"/>
      <c r="B241" s="46"/>
      <c r="C241" s="44"/>
      <c r="D241" s="44"/>
      <c r="E241" s="45">
        <v>0</v>
      </c>
      <c r="F241" s="42">
        <v>18</v>
      </c>
      <c r="G241" s="56">
        <f t="shared" si="16"/>
        <v>0</v>
      </c>
      <c r="H241" s="56">
        <f t="shared" si="17"/>
        <v>0</v>
      </c>
      <c r="I241" s="56">
        <f t="shared" si="18"/>
        <v>0</v>
      </c>
      <c r="J241" s="57">
        <f t="shared" si="19"/>
        <v>0</v>
      </c>
    </row>
    <row r="242" spans="1:10" x14ac:dyDescent="0.25">
      <c r="A242" s="59"/>
      <c r="B242" s="46"/>
      <c r="C242" s="44"/>
      <c r="D242" s="44"/>
      <c r="E242" s="45">
        <v>0</v>
      </c>
      <c r="F242" s="42">
        <v>18</v>
      </c>
      <c r="G242" s="56">
        <f t="shared" si="16"/>
        <v>0</v>
      </c>
      <c r="H242" s="56">
        <f t="shared" si="17"/>
        <v>0</v>
      </c>
      <c r="I242" s="56">
        <f t="shared" si="18"/>
        <v>0</v>
      </c>
      <c r="J242" s="57">
        <f t="shared" si="19"/>
        <v>0</v>
      </c>
    </row>
    <row r="243" spans="1:10" x14ac:dyDescent="0.25">
      <c r="A243" s="59"/>
      <c r="B243" s="46"/>
      <c r="C243" s="44"/>
      <c r="D243" s="44"/>
      <c r="E243" s="45">
        <v>0</v>
      </c>
      <c r="F243" s="42">
        <v>18</v>
      </c>
      <c r="G243" s="56">
        <f t="shared" si="16"/>
        <v>0</v>
      </c>
      <c r="H243" s="56">
        <f t="shared" si="17"/>
        <v>0</v>
      </c>
      <c r="I243" s="56">
        <f t="shared" si="18"/>
        <v>0</v>
      </c>
      <c r="J243" s="57">
        <f t="shared" si="19"/>
        <v>0</v>
      </c>
    </row>
    <row r="244" spans="1:10" x14ac:dyDescent="0.25">
      <c r="A244" s="59"/>
      <c r="B244" s="46"/>
      <c r="C244" s="44"/>
      <c r="D244" s="44"/>
      <c r="E244" s="45">
        <v>0</v>
      </c>
      <c r="F244" s="42">
        <v>18</v>
      </c>
      <c r="G244" s="56">
        <f t="shared" si="16"/>
        <v>0</v>
      </c>
      <c r="H244" s="56">
        <f t="shared" si="17"/>
        <v>0</v>
      </c>
      <c r="I244" s="56">
        <f t="shared" si="18"/>
        <v>0</v>
      </c>
      <c r="J244" s="57">
        <f t="shared" si="19"/>
        <v>0</v>
      </c>
    </row>
    <row r="245" spans="1:10" x14ac:dyDescent="0.25">
      <c r="A245" s="59"/>
      <c r="B245" s="46"/>
      <c r="C245" s="44"/>
      <c r="D245" s="44"/>
      <c r="E245" s="45">
        <v>0</v>
      </c>
      <c r="F245" s="42">
        <v>18</v>
      </c>
      <c r="G245" s="56">
        <f t="shared" si="16"/>
        <v>0</v>
      </c>
      <c r="H245" s="56">
        <f t="shared" si="17"/>
        <v>0</v>
      </c>
      <c r="I245" s="56">
        <f t="shared" si="18"/>
        <v>0</v>
      </c>
      <c r="J245" s="57">
        <f t="shared" si="19"/>
        <v>0</v>
      </c>
    </row>
    <row r="246" spans="1:10" x14ac:dyDescent="0.25">
      <c r="A246" s="59"/>
      <c r="B246" s="46"/>
      <c r="C246" s="44"/>
      <c r="D246" s="44"/>
      <c r="E246" s="45">
        <v>0</v>
      </c>
      <c r="F246" s="42">
        <v>18</v>
      </c>
      <c r="G246" s="56">
        <f t="shared" si="16"/>
        <v>0</v>
      </c>
      <c r="H246" s="56">
        <f t="shared" si="17"/>
        <v>0</v>
      </c>
      <c r="I246" s="56">
        <f t="shared" si="18"/>
        <v>0</v>
      </c>
      <c r="J246" s="57">
        <f t="shared" si="19"/>
        <v>0</v>
      </c>
    </row>
    <row r="247" spans="1:10" x14ac:dyDescent="0.25">
      <c r="A247" s="59"/>
      <c r="B247" s="46"/>
      <c r="C247" s="44"/>
      <c r="D247" s="44"/>
      <c r="E247" s="45">
        <v>0</v>
      </c>
      <c r="F247" s="42">
        <v>18</v>
      </c>
      <c r="G247" s="56">
        <f t="shared" si="16"/>
        <v>0</v>
      </c>
      <c r="H247" s="56">
        <f t="shared" si="17"/>
        <v>0</v>
      </c>
      <c r="I247" s="56">
        <f t="shared" si="18"/>
        <v>0</v>
      </c>
      <c r="J247" s="57">
        <f t="shared" si="19"/>
        <v>0</v>
      </c>
    </row>
    <row r="248" spans="1:10" x14ac:dyDescent="0.25">
      <c r="A248" s="59"/>
      <c r="B248" s="46"/>
      <c r="C248" s="44"/>
      <c r="D248" s="44"/>
      <c r="E248" s="45">
        <v>0</v>
      </c>
      <c r="F248" s="42">
        <v>18</v>
      </c>
      <c r="G248" s="56">
        <f t="shared" si="16"/>
        <v>0</v>
      </c>
      <c r="H248" s="56">
        <f t="shared" si="17"/>
        <v>0</v>
      </c>
      <c r="I248" s="56">
        <f t="shared" si="18"/>
        <v>0</v>
      </c>
      <c r="J248" s="57">
        <f t="shared" si="19"/>
        <v>0</v>
      </c>
    </row>
    <row r="249" spans="1:10" x14ac:dyDescent="0.25">
      <c r="A249" s="59"/>
      <c r="B249" s="46"/>
      <c r="C249" s="44"/>
      <c r="D249" s="44"/>
      <c r="E249" s="45">
        <v>0</v>
      </c>
      <c r="F249" s="42">
        <v>18</v>
      </c>
      <c r="G249" s="56">
        <f t="shared" si="16"/>
        <v>0</v>
      </c>
      <c r="H249" s="56">
        <f t="shared" si="17"/>
        <v>0</v>
      </c>
      <c r="I249" s="56">
        <f t="shared" si="18"/>
        <v>0</v>
      </c>
      <c r="J249" s="57">
        <f t="shared" si="19"/>
        <v>0</v>
      </c>
    </row>
    <row r="250" spans="1:10" x14ac:dyDescent="0.25">
      <c r="A250" s="59"/>
      <c r="B250" s="46"/>
      <c r="C250" s="44"/>
      <c r="D250" s="44"/>
      <c r="E250" s="45">
        <v>0</v>
      </c>
      <c r="F250" s="42">
        <v>18</v>
      </c>
      <c r="G250" s="56">
        <f t="shared" si="16"/>
        <v>0</v>
      </c>
      <c r="H250" s="56">
        <f t="shared" si="17"/>
        <v>0</v>
      </c>
      <c r="I250" s="56">
        <f t="shared" si="18"/>
        <v>0</v>
      </c>
      <c r="J250" s="57">
        <f t="shared" si="19"/>
        <v>0</v>
      </c>
    </row>
  </sheetData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2:C250">
      <formula1>500</formula1>
    </dataValidation>
    <dataValidation type="custom" allowBlank="1" showInputMessage="1" showErrorMessage="1" error="Please enter Numeric value having length less than or equal to 16 including decimal points. Do not enter Special characters." sqref="F2:F250">
      <formula1>AG2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E2:E250">
      <formula1>AF2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2:D250">
      <formula1>AD2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2"/>
  <sheetViews>
    <sheetView tabSelected="1" workbookViewId="0">
      <selection activeCell="E32" sqref="E32"/>
    </sheetView>
  </sheetViews>
  <sheetFormatPr defaultRowHeight="15" x14ac:dyDescent="0.25"/>
  <cols>
    <col min="1" max="1" width="19.7109375" style="61" customWidth="1"/>
    <col min="2" max="2" width="47.140625" style="61" customWidth="1"/>
    <col min="3" max="3" width="10.42578125" style="61" customWidth="1"/>
    <col min="4" max="4" width="10.7109375" style="61" bestFit="1" customWidth="1"/>
    <col min="5" max="5" width="14.28515625" style="61" bestFit="1" customWidth="1"/>
    <col min="6" max="6" width="9.140625" style="61"/>
    <col min="7" max="8" width="11.28515625" style="61" bestFit="1" customWidth="1"/>
    <col min="9" max="9" width="13.140625" style="61" bestFit="1" customWidth="1"/>
    <col min="10" max="10" width="14.28515625" style="61" bestFit="1" customWidth="1"/>
    <col min="11" max="16384" width="9.140625" style="61"/>
  </cols>
  <sheetData>
    <row r="3" spans="1:10" x14ac:dyDescent="0.25">
      <c r="A3" s="76" t="s">
        <v>751</v>
      </c>
      <c r="B3" s="76"/>
      <c r="C3" s="76"/>
      <c r="D3" s="76"/>
      <c r="E3" s="76"/>
      <c r="F3" s="76"/>
      <c r="G3" s="76"/>
      <c r="H3" s="76"/>
      <c r="I3" s="76"/>
      <c r="J3" s="76"/>
    </row>
    <row r="4" spans="1:10" x14ac:dyDescent="0.25">
      <c r="A4" s="74"/>
      <c r="B4" s="74"/>
      <c r="C4" s="74"/>
      <c r="D4" s="74"/>
      <c r="E4" s="74"/>
      <c r="F4" s="74"/>
      <c r="G4" s="74"/>
      <c r="H4" s="74"/>
      <c r="I4" s="74"/>
      <c r="J4" s="74"/>
    </row>
    <row r="5" spans="1:10" x14ac:dyDescent="0.25">
      <c r="A5" s="76" t="s">
        <v>753</v>
      </c>
      <c r="B5" s="76"/>
      <c r="C5" s="76"/>
      <c r="D5" s="76"/>
      <c r="E5" s="76"/>
      <c r="F5" s="76"/>
      <c r="G5" s="76"/>
      <c r="H5" s="76"/>
      <c r="I5" s="76"/>
      <c r="J5" s="76"/>
    </row>
    <row r="6" spans="1:10" x14ac:dyDescent="0.25">
      <c r="A6" s="74"/>
      <c r="B6" s="74"/>
      <c r="C6" s="74"/>
      <c r="D6" s="74"/>
      <c r="E6" s="74"/>
      <c r="F6" s="74"/>
      <c r="G6" s="74"/>
      <c r="H6" s="74"/>
      <c r="I6" s="74"/>
      <c r="J6" s="74"/>
    </row>
    <row r="7" spans="1:10" x14ac:dyDescent="0.25">
      <c r="A7" s="64"/>
      <c r="B7" s="64"/>
      <c r="C7" s="64"/>
      <c r="D7" s="64"/>
      <c r="E7" s="64"/>
      <c r="F7" s="64"/>
      <c r="G7" s="64"/>
      <c r="H7" s="64"/>
      <c r="I7" s="64"/>
      <c r="J7" s="64"/>
    </row>
    <row r="8" spans="1:10" x14ac:dyDescent="0.25">
      <c r="A8" s="62" t="s">
        <v>107</v>
      </c>
      <c r="B8" s="75" t="s">
        <v>231</v>
      </c>
      <c r="C8" s="75" t="s">
        <v>108</v>
      </c>
      <c r="D8" s="75" t="s">
        <v>101</v>
      </c>
      <c r="E8" s="63" t="s">
        <v>103</v>
      </c>
      <c r="F8" s="75" t="s">
        <v>99</v>
      </c>
      <c r="G8" s="75" t="s">
        <v>104</v>
      </c>
      <c r="H8" s="75" t="s">
        <v>105</v>
      </c>
      <c r="I8" s="75" t="s">
        <v>106</v>
      </c>
      <c r="J8" s="75" t="s">
        <v>100</v>
      </c>
    </row>
    <row r="9" spans="1:10" x14ac:dyDescent="0.25">
      <c r="A9" s="64"/>
      <c r="B9" s="71"/>
      <c r="C9" s="65"/>
      <c r="D9" s="65"/>
      <c r="E9" s="66"/>
      <c r="F9" s="67"/>
      <c r="G9" s="56"/>
      <c r="H9" s="56"/>
      <c r="I9" s="56"/>
      <c r="J9" s="68"/>
    </row>
    <row r="10" spans="1:10" x14ac:dyDescent="0.25">
      <c r="A10" s="72"/>
      <c r="B10" s="72"/>
      <c r="C10" s="72"/>
      <c r="D10" s="72"/>
      <c r="E10" s="73"/>
      <c r="F10" s="67"/>
      <c r="G10" s="73"/>
      <c r="H10" s="70"/>
      <c r="I10" s="70"/>
      <c r="J10" s="68"/>
    </row>
    <row r="11" spans="1:10" x14ac:dyDescent="0.25">
      <c r="A11" s="72"/>
      <c r="B11" s="72"/>
      <c r="C11" s="72"/>
      <c r="D11" s="72"/>
      <c r="E11" s="73"/>
      <c r="F11" s="67"/>
      <c r="G11" s="73"/>
      <c r="H11" s="70"/>
      <c r="I11" s="70"/>
      <c r="J11" s="68"/>
    </row>
    <row r="12" spans="1:10" x14ac:dyDescent="0.25">
      <c r="A12" s="72"/>
      <c r="B12" s="72"/>
      <c r="C12" s="72"/>
      <c r="D12" s="72"/>
      <c r="E12" s="73"/>
      <c r="F12" s="67"/>
      <c r="G12" s="73"/>
      <c r="H12" s="70"/>
      <c r="I12" s="70"/>
      <c r="J12" s="68"/>
    </row>
    <row r="13" spans="1:10" x14ac:dyDescent="0.25">
      <c r="A13" s="72"/>
      <c r="B13" s="72"/>
      <c r="C13" s="72"/>
      <c r="D13" s="72"/>
      <c r="E13" s="73"/>
      <c r="F13" s="67"/>
      <c r="G13" s="73"/>
      <c r="H13" s="70"/>
      <c r="I13" s="70"/>
      <c r="J13" s="68"/>
    </row>
    <row r="14" spans="1:10" x14ac:dyDescent="0.25">
      <c r="A14" s="72"/>
      <c r="B14" s="72"/>
      <c r="C14" s="72"/>
      <c r="D14" s="72"/>
      <c r="E14" s="73"/>
      <c r="F14" s="67"/>
      <c r="G14" s="73"/>
      <c r="H14" s="70"/>
      <c r="I14" s="70"/>
      <c r="J14" s="68"/>
    </row>
    <row r="15" spans="1:10" x14ac:dyDescent="0.25">
      <c r="A15" s="72"/>
      <c r="B15" s="72"/>
      <c r="C15" s="72"/>
      <c r="D15" s="72"/>
      <c r="E15" s="73"/>
      <c r="F15" s="67"/>
      <c r="G15" s="73"/>
      <c r="H15" s="70"/>
      <c r="I15" s="70"/>
      <c r="J15" s="68"/>
    </row>
    <row r="16" spans="1:10" x14ac:dyDescent="0.25">
      <c r="A16" s="72"/>
      <c r="B16" s="72"/>
      <c r="C16" s="72"/>
      <c r="D16" s="72"/>
      <c r="E16" s="73"/>
      <c r="F16" s="67"/>
      <c r="G16" s="73"/>
      <c r="H16" s="70"/>
      <c r="I16" s="70"/>
      <c r="J16" s="68"/>
    </row>
    <row r="17" spans="1:10" x14ac:dyDescent="0.25">
      <c r="A17" s="72"/>
      <c r="B17" s="72"/>
      <c r="C17" s="72"/>
      <c r="D17" s="72"/>
      <c r="E17" s="73"/>
      <c r="F17" s="67"/>
      <c r="G17" s="73"/>
      <c r="H17" s="70"/>
      <c r="I17" s="70"/>
      <c r="J17" s="68"/>
    </row>
    <row r="18" spans="1:10" x14ac:dyDescent="0.25">
      <c r="A18" s="72"/>
      <c r="B18" s="72"/>
      <c r="C18" s="72"/>
      <c r="D18" s="72"/>
      <c r="E18" s="73"/>
      <c r="F18" s="67"/>
      <c r="G18" s="73"/>
      <c r="H18" s="70"/>
      <c r="I18" s="70"/>
      <c r="J18" s="68"/>
    </row>
    <row r="19" spans="1:10" x14ac:dyDescent="0.25">
      <c r="A19" s="72"/>
      <c r="B19" s="72"/>
      <c r="C19" s="72"/>
      <c r="D19" s="72"/>
      <c r="E19" s="73"/>
      <c r="F19" s="67"/>
      <c r="G19" s="73"/>
      <c r="H19" s="70"/>
      <c r="I19" s="70"/>
      <c r="J19" s="68"/>
    </row>
    <row r="20" spans="1:10" x14ac:dyDescent="0.25">
      <c r="A20" s="72"/>
      <c r="B20" s="72"/>
      <c r="C20" s="72"/>
      <c r="D20" s="72"/>
      <c r="E20" s="73"/>
      <c r="F20" s="67"/>
      <c r="G20" s="73"/>
      <c r="H20" s="70"/>
      <c r="I20" s="70"/>
      <c r="J20" s="68"/>
    </row>
    <row r="21" spans="1:10" x14ac:dyDescent="0.25">
      <c r="A21" s="72"/>
      <c r="B21" s="72"/>
      <c r="C21" s="72"/>
      <c r="D21" s="72"/>
      <c r="E21" s="66"/>
      <c r="F21" s="67"/>
      <c r="G21" s="56"/>
      <c r="H21" s="56"/>
      <c r="I21" s="56"/>
      <c r="J21" s="68"/>
    </row>
    <row r="22" spans="1:10" x14ac:dyDescent="0.25">
      <c r="A22" s="64"/>
      <c r="B22" s="71" t="s">
        <v>752</v>
      </c>
      <c r="C22" s="65"/>
      <c r="D22" s="65"/>
      <c r="E22" s="69">
        <f>ROUND(SUM(E10:E21),)</f>
        <v>0</v>
      </c>
      <c r="F22" s="67"/>
      <c r="G22" s="69">
        <f>ROUND(SUM(G10:G21),)</f>
        <v>0</v>
      </c>
      <c r="H22" s="69">
        <f>ROUND(SUM(H10:H21),)</f>
        <v>0</v>
      </c>
      <c r="I22" s="69">
        <f>ROUND(SUM(I10:I21),)</f>
        <v>0</v>
      </c>
      <c r="J22" s="69">
        <f>ROUND(SUM(J10:J21),)</f>
        <v>0</v>
      </c>
    </row>
  </sheetData>
  <mergeCells count="2">
    <mergeCell ref="A3:J3"/>
    <mergeCell ref="A5:J5"/>
  </mergeCells>
  <dataValidations count="4">
    <dataValidation type="textLength" operator="lessThanOrEqual" allowBlank="1" showInputMessage="1" showErrorMessage="1" error="Please enter only alphanumeric value of length less than or equal to 500. No other special characters _x000a_are allowed except . - ' &amp; / ( ) \ and SPACE." sqref="B9:C22">
      <formula1>500</formula1>
    </dataValidation>
    <dataValidation type="custom" operator="lessThanOrEqual" allowBlank="1" showInputMessage="1" showErrorMessage="1" errorTitle="Data Error" error="Please enter Numeric value having length less than or equal to 10. Do not enter decimal Value." sqref="G22:J22 E9:E22">
      <formula1>AF9</formula1>
    </dataValidation>
    <dataValidation type="custom" allowBlank="1" showInputMessage="1" showErrorMessage="1" error="Please enter Numeric value having length less than or equal to 16 including decimal points. Do not enter Special characters." sqref="F9:F22">
      <formula1>AG9</formula1>
    </dataValidation>
    <dataValidation type="custom" operator="lessThanOrEqual" allowBlank="1" showInputMessage="1" showErrorMessage="1" error="Please enter alphanumeric value of length less than or equal to 25.Do not enter any special character except . , - / and SPACE." sqref="D9:D22">
      <formula1>AD9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Error</vt:lpstr>
      <vt:lpstr>Addrow_Column_Bean_Mapping</vt:lpstr>
      <vt:lpstr>GENERATED_XML_STRING</vt:lpstr>
      <vt:lpstr>SEPTEMBER</vt:lpstr>
      <vt:lpstr>OCTOBER</vt:lpstr>
      <vt:lpstr>NOVEMBER</vt:lpstr>
      <vt:lpstr>JANUARY</vt:lpstr>
      <vt:lpstr>FEBRUARY</vt:lpstr>
      <vt:lpstr>MARCH</vt:lpstr>
      <vt:lpstr>APRIL</vt:lpstr>
      <vt:lpstr>JULY</vt:lpstr>
      <vt:lpstr>SEP</vt:lpstr>
      <vt:lpstr>OCT</vt:lpstr>
      <vt:lpstr>DEC</vt:lpstr>
      <vt:lpstr>MAR-26</vt:lpstr>
      <vt:lpstr>Annexure1_Validation</vt:lpstr>
      <vt:lpstr>Annexure1Col</vt:lpstr>
      <vt:lpstr>beanMapping</vt:lpstr>
      <vt:lpstr>hashXmlName</vt:lpstr>
      <vt:lpstr>lstRtnVATAnx1Dtls</vt:lpstr>
      <vt:lpstr>rateofTax</vt:lpstr>
      <vt:lpstr>taxRateCode</vt:lpstr>
      <vt:lpstr>taxRateXmlCode</vt:lpstr>
    </vt:vector>
  </TitlesOfParts>
  <Company>TCS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Kaushlendra  Patel</dc:creator>
  <cp:lastModifiedBy>Vijay</cp:lastModifiedBy>
  <cp:lastPrinted>2022-01-07T07:36:01Z</cp:lastPrinted>
  <dcterms:created xsi:type="dcterms:W3CDTF">2014-02-17T05:44:46Z</dcterms:created>
  <dcterms:modified xsi:type="dcterms:W3CDTF">2026-05-10T11:43:10Z</dcterms:modified>
</cp:coreProperties>
</file>